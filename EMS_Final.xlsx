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MS_Excel_Work\"/>
    </mc:Choice>
  </mc:AlternateContent>
  <xr:revisionPtr revIDLastSave="0" documentId="13_ncr:1_{FE61848F-E482-49DE-99C9-D92441982970}" xr6:coauthVersionLast="47" xr6:coauthVersionMax="47" xr10:uidLastSave="{00000000-0000-0000-0000-000000000000}"/>
  <bookViews>
    <workbookView xWindow="-110" yWindow="-110" windowWidth="19420" windowHeight="12220" firstSheet="5" activeTab="6" xr2:uid="{607882DA-835A-499F-B5CE-D053764389DF}"/>
  </bookViews>
  <sheets>
    <sheet name="employee" sheetId="1" r:id="rId1"/>
    <sheet name="jobdepartment" sheetId="2" r:id="rId2"/>
    <sheet name="salarybonus" sheetId="3" r:id="rId3"/>
    <sheet name="payroll" sheetId="4" r:id="rId4"/>
    <sheet name="Department Headcount" sheetId="7" r:id="rId5"/>
    <sheet name="Department Salary Cost" sheetId="8" r:id="rId6"/>
    <sheet name="Employee Payroll Summary" sheetId="9" r:id="rId7"/>
    <sheet name="Master_Data" sheetId="5" r:id="rId8"/>
  </sheets>
  <calcPr calcId="191029"/>
  <pivotCaches>
    <pivotCache cacheId="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2" i="5"/>
</calcChain>
</file>

<file path=xl/sharedStrings.xml><?xml version="1.0" encoding="utf-8"?>
<sst xmlns="http://schemas.openxmlformats.org/spreadsheetml/2006/main" count="1102" uniqueCount="434">
  <si>
    <t>Emp_ID</t>
  </si>
  <si>
    <t>FirstName</t>
  </si>
  <si>
    <t>LastName</t>
  </si>
  <si>
    <t>Gender</t>
  </si>
  <si>
    <t>Age</t>
  </si>
  <si>
    <t>Contact_Add</t>
  </si>
  <si>
    <t>Emp_Email</t>
  </si>
  <si>
    <t>Emp_Pass</t>
  </si>
  <si>
    <t>Job_ID</t>
  </si>
  <si>
    <t>John</t>
  </si>
  <si>
    <t>Doe</t>
  </si>
  <si>
    <t>M</t>
  </si>
  <si>
    <t>123 Elm St, NY</t>
  </si>
  <si>
    <t>john.doe@example.com</t>
  </si>
  <si>
    <t>password123</t>
  </si>
  <si>
    <t>Jane</t>
  </si>
  <si>
    <t>Smith</t>
  </si>
  <si>
    <t>F</t>
  </si>
  <si>
    <t>456 Maple Ave, CA</t>
  </si>
  <si>
    <t>jane.smith@example.com</t>
  </si>
  <si>
    <t>Alice</t>
  </si>
  <si>
    <t>Brown</t>
  </si>
  <si>
    <t>789 Oak St, TX</t>
  </si>
  <si>
    <t>alice.brown@example.com</t>
  </si>
  <si>
    <t>Bob</t>
  </si>
  <si>
    <t>Johnson</t>
  </si>
  <si>
    <t>101 Pine St, FL</t>
  </si>
  <si>
    <t>bob.johnson@example.com</t>
  </si>
  <si>
    <t>Charlie</t>
  </si>
  <si>
    <t>Williams</t>
  </si>
  <si>
    <t>202 Birch Rd, IL</t>
  </si>
  <si>
    <t>charlie.williams@example.com</t>
  </si>
  <si>
    <t>Dave</t>
  </si>
  <si>
    <t>Miller</t>
  </si>
  <si>
    <t>303 Cedar Blvd, NY</t>
  </si>
  <si>
    <t>dave.miller@example.com</t>
  </si>
  <si>
    <t>Eve</t>
  </si>
  <si>
    <t>Davis</t>
  </si>
  <si>
    <t>404 Maple Dr, TX</t>
  </si>
  <si>
    <t>eve.davis@example.com</t>
  </si>
  <si>
    <t>Frank</t>
  </si>
  <si>
    <t>Wilson</t>
  </si>
  <si>
    <t>505 Pine Ave, FL</t>
  </si>
  <si>
    <t>frank.wilson@example.com</t>
  </si>
  <si>
    <t>Grace</t>
  </si>
  <si>
    <t>Moore</t>
  </si>
  <si>
    <t>606 Oak Blvd, CA</t>
  </si>
  <si>
    <t>grace.moore@example.com</t>
  </si>
  <si>
    <t>Harry</t>
  </si>
  <si>
    <t>Taylor</t>
  </si>
  <si>
    <t>707 Elm Rd, NY</t>
  </si>
  <si>
    <t>harry.taylor@example.com</t>
  </si>
  <si>
    <t>Irene</t>
  </si>
  <si>
    <t>Anderson</t>
  </si>
  <si>
    <t>808 Maple St, FL</t>
  </si>
  <si>
    <t>irene.anderson@example.com</t>
  </si>
  <si>
    <t>Jack</t>
  </si>
  <si>
    <t>Thomas</t>
  </si>
  <si>
    <t>909 Pine Rd, TX</t>
  </si>
  <si>
    <t>jack.thomas@example.com</t>
  </si>
  <si>
    <t>Karen</t>
  </si>
  <si>
    <t>Jackson</t>
  </si>
  <si>
    <t>1010 Oak Dr, NY</t>
  </si>
  <si>
    <t>karen.jackson@example.com</t>
  </si>
  <si>
    <t>Louis</t>
  </si>
  <si>
    <t>White</t>
  </si>
  <si>
    <t>1111 Maple Blvd, FL</t>
  </si>
  <si>
    <t>louis.white@example.com</t>
  </si>
  <si>
    <t>Maria</t>
  </si>
  <si>
    <t>Harris</t>
  </si>
  <si>
    <t>1212 Cedar Ave, CA</t>
  </si>
  <si>
    <t>maria.harris@example.com</t>
  </si>
  <si>
    <t>Nathan</t>
  </si>
  <si>
    <t>Martin</t>
  </si>
  <si>
    <t>1313 Birch Rd, TX</t>
  </si>
  <si>
    <t>nathan.martin@example.com</t>
  </si>
  <si>
    <t>Olivia</t>
  </si>
  <si>
    <t>Lee</t>
  </si>
  <si>
    <t>1414 Oak Blvd, FL</t>
  </si>
  <si>
    <t>olivia.lee@example.com</t>
  </si>
  <si>
    <t>Paul</t>
  </si>
  <si>
    <t>Clark</t>
  </si>
  <si>
    <t>1515 Pine St, NY</t>
  </si>
  <si>
    <t>paul.clark@example.com</t>
  </si>
  <si>
    <t>Quinn</t>
  </si>
  <si>
    <t>Lewis</t>
  </si>
  <si>
    <t>1616 Cedar Blvd, CA</t>
  </si>
  <si>
    <t>quinn.lewis@example.com</t>
  </si>
  <si>
    <t>Rachel</t>
  </si>
  <si>
    <t>Walker</t>
  </si>
  <si>
    <t>1717 Birch Ave, TX</t>
  </si>
  <si>
    <t>rachel.walker@example.com</t>
  </si>
  <si>
    <t>Steve</t>
  </si>
  <si>
    <t>Hall</t>
  </si>
  <si>
    <t>1818 Maple Rd, FL</t>
  </si>
  <si>
    <t>steve.hall@example.com</t>
  </si>
  <si>
    <t>Tina</t>
  </si>
  <si>
    <t>Allen</t>
  </si>
  <si>
    <t>1919 Oak St, NY</t>
  </si>
  <si>
    <t>tina.allen@example.com</t>
  </si>
  <si>
    <t>Ulysses</t>
  </si>
  <si>
    <t>Young</t>
  </si>
  <si>
    <t>2020 Pine Blvd, TX</t>
  </si>
  <si>
    <t>ulysses.young@example.com</t>
  </si>
  <si>
    <t>Vanessa</t>
  </si>
  <si>
    <t>King</t>
  </si>
  <si>
    <t>2121 Cedar Rd, CA</t>
  </si>
  <si>
    <t>vanessa.king@example.com</t>
  </si>
  <si>
    <t>William</t>
  </si>
  <si>
    <t>Scott</t>
  </si>
  <si>
    <t>2222 Birch Blvd, FL</t>
  </si>
  <si>
    <t>william.scott@example.com</t>
  </si>
  <si>
    <t>Xavier</t>
  </si>
  <si>
    <t>Adams</t>
  </si>
  <si>
    <t>2323 Maple Ave, TX</t>
  </si>
  <si>
    <t>xavier.adams@example.com</t>
  </si>
  <si>
    <t>Yvonne</t>
  </si>
  <si>
    <t>Nelson</t>
  </si>
  <si>
    <t>2424 Oak Rd, CA</t>
  </si>
  <si>
    <t>yvonne.nelson@example.com</t>
  </si>
  <si>
    <t>Zack</t>
  </si>
  <si>
    <t>Carter</t>
  </si>
  <si>
    <t>2525 Pine Blvd, NY</t>
  </si>
  <si>
    <t>zack.carter@example.com</t>
  </si>
  <si>
    <t>Annabelle</t>
  </si>
  <si>
    <t>Mitchell</t>
  </si>
  <si>
    <t>2626 Cedar St, TX</t>
  </si>
  <si>
    <t>annabelle.mitchell@example.com</t>
  </si>
  <si>
    <t>Bruce</t>
  </si>
  <si>
    <t>Roberts</t>
  </si>
  <si>
    <t>2727 Birch Blvd, CA</t>
  </si>
  <si>
    <t>bruce.roberts@example.com</t>
  </si>
  <si>
    <t>Cindy</t>
  </si>
  <si>
    <t>Perez</t>
  </si>
  <si>
    <t>2828 Maple Blvd, FL</t>
  </si>
  <si>
    <t>cindy.perez@example.com</t>
  </si>
  <si>
    <t>Daniel</t>
  </si>
  <si>
    <t>2929 Oak Blvd, TX</t>
  </si>
  <si>
    <t>daniel.lee@example.com</t>
  </si>
  <si>
    <t>Emma</t>
  </si>
  <si>
    <t>Garcia</t>
  </si>
  <si>
    <t>3030 Pine Rd, CA</t>
  </si>
  <si>
    <t>emma.garcia@example.com</t>
  </si>
  <si>
    <t>3131 Cedar Ave, NY</t>
  </si>
  <si>
    <t>frank.davis@example.com</t>
  </si>
  <si>
    <t>Grake</t>
  </si>
  <si>
    <t>Moor</t>
  </si>
  <si>
    <t>3232 Birch Rd, TX</t>
  </si>
  <si>
    <t>grake.moor@example.com</t>
  </si>
  <si>
    <t>Hank</t>
  </si>
  <si>
    <t>3333 Maple Dr, CA</t>
  </si>
  <si>
    <t>hank.wilson@example.com</t>
  </si>
  <si>
    <t>Ingrid</t>
  </si>
  <si>
    <t>3434 Oak St, NY</t>
  </si>
  <si>
    <t>ingrid.adams@example.com</t>
  </si>
  <si>
    <t>Baker</t>
  </si>
  <si>
    <t>3535 Pine Rd, TX</t>
  </si>
  <si>
    <t>john.baker@example.com</t>
  </si>
  <si>
    <t>Kelly</t>
  </si>
  <si>
    <t>Cooper</t>
  </si>
  <si>
    <t>3636 Cedar Blvd, CA</t>
  </si>
  <si>
    <t>kelly.cooper@example.com</t>
  </si>
  <si>
    <t>Leo</t>
  </si>
  <si>
    <t>Rodriguez</t>
  </si>
  <si>
    <t>3737 Birch Ave, TX</t>
  </si>
  <si>
    <t>leo.rodriguez@example.com</t>
  </si>
  <si>
    <t>Green</t>
  </si>
  <si>
    <t>3838 Oak Rd, NY</t>
  </si>
  <si>
    <t>maria.green@example.com</t>
  </si>
  <si>
    <t>Nora</t>
  </si>
  <si>
    <t>3939 Pine Blvd, CA</t>
  </si>
  <si>
    <t>nora.harris@example.com</t>
  </si>
  <si>
    <t>Oliver</t>
  </si>
  <si>
    <t>4040 Cedar St, TX</t>
  </si>
  <si>
    <t>oliver.mitchell@example.com</t>
  </si>
  <si>
    <t>Pat</t>
  </si>
  <si>
    <t>Collins</t>
  </si>
  <si>
    <t>4141 Maple Rd, FL</t>
  </si>
  <si>
    <t>pat.collins@example.com</t>
  </si>
  <si>
    <t>4242 Oak Blvd, TX</t>
  </si>
  <si>
    <t>quinn.walker@example.com</t>
  </si>
  <si>
    <t>Ryan</t>
  </si>
  <si>
    <t>4343 Pine Rd, CA</t>
  </si>
  <si>
    <t>ryan.nelson@example.com</t>
  </si>
  <si>
    <t>Sally</t>
  </si>
  <si>
    <t>4444 Cedar Ave, NY</t>
  </si>
  <si>
    <t>sally.clark@example.com</t>
  </si>
  <si>
    <t>Tom</t>
  </si>
  <si>
    <t>4545 Birch Blvd, TX</t>
  </si>
  <si>
    <t>tom.perez@example.com</t>
  </si>
  <si>
    <t>Ursula</t>
  </si>
  <si>
    <t>4646 Oak St, NY</t>
  </si>
  <si>
    <t>ursula.young@example.com</t>
  </si>
  <si>
    <t>Victor</t>
  </si>
  <si>
    <t>Ward</t>
  </si>
  <si>
    <t>4747 Maple Ave, TX</t>
  </si>
  <si>
    <t>victor.ward@example.com</t>
  </si>
  <si>
    <t>Wendy</t>
  </si>
  <si>
    <t>Morgan</t>
  </si>
  <si>
    <t>4848 Pine Rd, CA</t>
  </si>
  <si>
    <t>wendy.morgan@example.com</t>
  </si>
  <si>
    <t>4949 Cedar Blvd, NY</t>
  </si>
  <si>
    <t>xavier.lewis@example.com</t>
  </si>
  <si>
    <t>Yasmine</t>
  </si>
  <si>
    <t>Robinson</t>
  </si>
  <si>
    <t>5050 Birch Rd, TX</t>
  </si>
  <si>
    <t>yasmine.robinson@example.com</t>
  </si>
  <si>
    <t>Zachary</t>
  </si>
  <si>
    <t>5151 Oak Blvd, CA</t>
  </si>
  <si>
    <t>zachary.wilson@example.com</t>
  </si>
  <si>
    <t>Adam</t>
  </si>
  <si>
    <t>5252 Maple Rd, TX</t>
  </si>
  <si>
    <t>adam.harris@example.com</t>
  </si>
  <si>
    <t>Brooke</t>
  </si>
  <si>
    <t>5353 Pine Blvd, FL</t>
  </si>
  <si>
    <t>brooke.clark@example.com</t>
  </si>
  <si>
    <t>Connor</t>
  </si>
  <si>
    <t>5454 Cedar Rd, NY</t>
  </si>
  <si>
    <t>connor.scott@example.com</t>
  </si>
  <si>
    <t>Daisy</t>
  </si>
  <si>
    <t>5555 Birch Ave, TX</t>
  </si>
  <si>
    <t>daisy.allen@example.com</t>
  </si>
  <si>
    <t>Eli</t>
  </si>
  <si>
    <t>5656 Oak Rd, CA</t>
  </si>
  <si>
    <t>eli.mitchell@example.com</t>
  </si>
  <si>
    <t>Fiona</t>
  </si>
  <si>
    <t>5757 Pine Blvd, TX</t>
  </si>
  <si>
    <t>fiona.jackson@example.com</t>
  </si>
  <si>
    <t>JobDept</t>
  </si>
  <si>
    <t>Name</t>
  </si>
  <si>
    <t>Description</t>
  </si>
  <si>
    <t>SalaryRange</t>
  </si>
  <si>
    <t>Operations</t>
  </si>
  <si>
    <t>Operations Engineer</t>
  </si>
  <si>
    <t>Responsible for engineer duties in the operations department.</t>
  </si>
  <si>
    <t>$70889 - $91502</t>
  </si>
  <si>
    <t>Finance</t>
  </si>
  <si>
    <t>Finance Consultant</t>
  </si>
  <si>
    <t>Responsible for consultant duties in the finance department.</t>
  </si>
  <si>
    <t>$45757 - $102274</t>
  </si>
  <si>
    <t>IT</t>
  </si>
  <si>
    <t>IT Coordinator</t>
  </si>
  <si>
    <t>Responsible for coordinator duties in the IT department.</t>
  </si>
  <si>
    <t>$32637 - $118326</t>
  </si>
  <si>
    <t>Marketing</t>
  </si>
  <si>
    <t>Marketing Engineer</t>
  </si>
  <si>
    <t>Responsible for engineer duties in the marketing department.</t>
  </si>
  <si>
    <t>$48936 - $145464</t>
  </si>
  <si>
    <t>Finance Specialist</t>
  </si>
  <si>
    <t>Responsible for specialist duties in the finance department.</t>
  </si>
  <si>
    <t>$67562 - $99403</t>
  </si>
  <si>
    <t>Engineering</t>
  </si>
  <si>
    <t>Engineering Executive</t>
  </si>
  <si>
    <t>Responsible for executive duties in the engineering department.</t>
  </si>
  <si>
    <t>$66000 - $125000</t>
  </si>
  <si>
    <t>Sales</t>
  </si>
  <si>
    <t>Sales Manager</t>
  </si>
  <si>
    <t>Responsible for managing the sales department.</t>
  </si>
  <si>
    <t>$75000 - $130000</t>
  </si>
  <si>
    <t>IT Analyst</t>
  </si>
  <si>
    <t>Responsible for analyzing IT systems in the IT department.</t>
  </si>
  <si>
    <t>$48000 - $92000</t>
  </si>
  <si>
    <t>HR</t>
  </si>
  <si>
    <t>HR Manager</t>
  </si>
  <si>
    <t>Responsible for managing the human resources department.</t>
  </si>
  <si>
    <t>$68000 - $105000</t>
  </si>
  <si>
    <t>Operations Specialist</t>
  </si>
  <si>
    <t>Responsible for specialist duties in the operations department.</t>
  </si>
  <si>
    <t>$54000 - $90000</t>
  </si>
  <si>
    <t>Marketing Coordinator</t>
  </si>
  <si>
    <t>Responsible for coordinating marketing campaigns.</t>
  </si>
  <si>
    <t>$55000 - $95000</t>
  </si>
  <si>
    <t>Legal</t>
  </si>
  <si>
    <t>Legal Advisor</t>
  </si>
  <si>
    <t>Responsible for advising on legal matters in the organization.</t>
  </si>
  <si>
    <t>$95000 - $150000</t>
  </si>
  <si>
    <t>Financial Analyst</t>
  </si>
  <si>
    <t>Responsible for analyzing financial data and trends.</t>
  </si>
  <si>
    <t>$58000 - $120000</t>
  </si>
  <si>
    <t>IT Support Specialist</t>
  </si>
  <si>
    <t>Responsible for providing support for IT systems.</t>
  </si>
  <si>
    <t>$40000 - $75000</t>
  </si>
  <si>
    <t>Engineering Technician</t>
  </si>
  <si>
    <t>Responsible for technical support in the engineering department.</t>
  </si>
  <si>
    <t>$52000 - $85000</t>
  </si>
  <si>
    <t>Marketing Executive</t>
  </si>
  <si>
    <t>Responsible for executive duties in the marketing department.</t>
  </si>
  <si>
    <t>$60000 - $110000</t>
  </si>
  <si>
    <t>Sales Executive</t>
  </si>
  <si>
    <t>Responsible for executing sales strategies and goals.</t>
  </si>
  <si>
    <t>$45000 - $95000</t>
  </si>
  <si>
    <t>HR Executive</t>
  </si>
  <si>
    <t>Responsible for executing HR policies and procedures.</t>
  </si>
  <si>
    <t>$50000 - $95000</t>
  </si>
  <si>
    <t>Operations Manager</t>
  </si>
  <si>
    <t>Responsible for managing operations and process improvements.</t>
  </si>
  <si>
    <t>$85000 - $135000</t>
  </si>
  <si>
    <t>Legal Manager</t>
  </si>
  <si>
    <t>Responsible for managing legal matters and team.</t>
  </si>
  <si>
    <t>$115000 - $180000</t>
  </si>
  <si>
    <t>Finance Manager</t>
  </si>
  <si>
    <t>Responsible for overseeing the financial department.</t>
  </si>
  <si>
    <t>$95000 - $140000</t>
  </si>
  <si>
    <t>IT Manager</t>
  </si>
  <si>
    <t>Responsible for managing IT projects and teams.</t>
  </si>
  <si>
    <t>$90000 - $145000</t>
  </si>
  <si>
    <t>Senior Engineer</t>
  </si>
  <si>
    <t>Responsible for senior engineering duties.</t>
  </si>
  <si>
    <t>$80000 - $130000</t>
  </si>
  <si>
    <t>Senior Sales Manager</t>
  </si>
  <si>
    <t>Responsible for managing the senior sales team.</t>
  </si>
  <si>
    <t>$85000 - $145000</t>
  </si>
  <si>
    <t>Senior HR Specialist</t>
  </si>
  <si>
    <t>Responsible for overseeing HR functions and policies.</t>
  </si>
  <si>
    <t>$70000 - $120000</t>
  </si>
  <si>
    <t>Senior Operations Manager</t>
  </si>
  <si>
    <t>Responsible for managing senior operations processes.</t>
  </si>
  <si>
    <t>Senior Marketing Manager</t>
  </si>
  <si>
    <t>Responsible for senior marketing campaigns and strategies.</t>
  </si>
  <si>
    <t>$90000 - $150000</t>
  </si>
  <si>
    <t>Senior IT Consultant</t>
  </si>
  <si>
    <t>Responsible for consulting on senior IT projects.</t>
  </si>
  <si>
    <t>$100000 - $160000</t>
  </si>
  <si>
    <t>Senior Legal Consultant</t>
  </si>
  <si>
    <t>Responsible for providing senior legal consultation.</t>
  </si>
  <si>
    <t>$120000 - $180000</t>
  </si>
  <si>
    <t>Senior Finance Analyst</t>
  </si>
  <si>
    <t>Responsible for senior financial analysis and reporting.</t>
  </si>
  <si>
    <t>$105000 - $160000</t>
  </si>
  <si>
    <t>Senior Engineering Manager</t>
  </si>
  <si>
    <t>Responsible for managing senior engineering teams.</t>
  </si>
  <si>
    <t>$110000 - $170000</t>
  </si>
  <si>
    <t>Senior Sales Executive</t>
  </si>
  <si>
    <t>Responsible for senior sales strategies and client management.</t>
  </si>
  <si>
    <t>$95000 - $160000</t>
  </si>
  <si>
    <t>HR Director</t>
  </si>
  <si>
    <t>Responsible for overseeing all HR operations.</t>
  </si>
  <si>
    <t>Operations Director</t>
  </si>
  <si>
    <t>Responsible for managing all operational processes.</t>
  </si>
  <si>
    <t>$125000 - $200000</t>
  </si>
  <si>
    <t>Marketing Director</t>
  </si>
  <si>
    <t>Responsible for overseeing marketing strategies and teams.</t>
  </si>
  <si>
    <t>$130000 - $210000</t>
  </si>
  <si>
    <t>IT Director</t>
  </si>
  <si>
    <t>Responsible for overseeing IT department and projects.</t>
  </si>
  <si>
    <t>$140000 - $220000</t>
  </si>
  <si>
    <t>Finance Director</t>
  </si>
  <si>
    <t>Responsible for directing all financial activities.</t>
  </si>
  <si>
    <t>$140000 - $250000</t>
  </si>
  <si>
    <t>Engineering Director</t>
  </si>
  <si>
    <t>Responsible for directing engineering projects and teams.</t>
  </si>
  <si>
    <t>$150000 - $250000</t>
  </si>
  <si>
    <t>Sales Director</t>
  </si>
  <si>
    <t>Responsible for directing all sales operations.</t>
  </si>
  <si>
    <t>$150000 - $230000</t>
  </si>
  <si>
    <t>HR Specialist</t>
  </si>
  <si>
    <t>Responsible for supporting HR processes and employee relations.</t>
  </si>
  <si>
    <t>Operations Executive</t>
  </si>
  <si>
    <t>Responsible for executive duties in operations.</t>
  </si>
  <si>
    <t>Marketing Specialist</t>
  </si>
  <si>
    <t>Responsible for handling marketing campaigns.</t>
  </si>
  <si>
    <t>$48000 - $85000</t>
  </si>
  <si>
    <t>Finance Clerk</t>
  </si>
  <si>
    <t>Responsible for clerical work in the finance department.</t>
  </si>
  <si>
    <t>$35000 - $60000</t>
  </si>
  <si>
    <t>IT Technician</t>
  </si>
  <si>
    <t>Responsible for providing IT support and maintenance.</t>
  </si>
  <si>
    <t>$37000 - $65000</t>
  </si>
  <si>
    <t>Engineering Assistant</t>
  </si>
  <si>
    <t>Responsible for assisting engineers with technical work.</t>
  </si>
  <si>
    <t>$38000 - $70000</t>
  </si>
  <si>
    <t>Sales Clerk</t>
  </si>
  <si>
    <t>Responsible for clerical duties in the sales department.</t>
  </si>
  <si>
    <t>$32000 - $60000</t>
  </si>
  <si>
    <t>Marketing Assistant</t>
  </si>
  <si>
    <t>Responsible for assisting in marketing campaigns.</t>
  </si>
  <si>
    <t>$35000 - $65000</t>
  </si>
  <si>
    <t>HR Assistant</t>
  </si>
  <si>
    <t>Responsible for assisting in HR operations and paperwork.</t>
  </si>
  <si>
    <t>$33000 - $60000</t>
  </si>
  <si>
    <t>Operations Clerk</t>
  </si>
  <si>
    <t>Responsible for clerical duties in operations.</t>
  </si>
  <si>
    <t>$31000 - $55000</t>
  </si>
  <si>
    <t>Legal Assistant</t>
  </si>
  <si>
    <t>Responsible for assisting in legal matters and paperwork.</t>
  </si>
  <si>
    <t>$38000 - $75000</t>
  </si>
  <si>
    <t>Finance Assistant</t>
  </si>
  <si>
    <t>Responsible for assisting with financial documentation.</t>
  </si>
  <si>
    <t>IT Support Technician</t>
  </si>
  <si>
    <t>Responsible for supporting IT systems and infrastructure.</t>
  </si>
  <si>
    <t>$35000 - $75000</t>
  </si>
  <si>
    <t>Engineering Coordinator</t>
  </si>
  <si>
    <t>Responsible for coordinating engineering tasks and projects.</t>
  </si>
  <si>
    <t>$46000 - $85000</t>
  </si>
  <si>
    <t>Sales Assistant</t>
  </si>
  <si>
    <t>Responsible for assisting with sales processes and paperwork.</t>
  </si>
  <si>
    <t>$30000 - $50000</t>
  </si>
  <si>
    <t>Responsible for coordinating marketing events.</t>
  </si>
  <si>
    <t>$44000 - $80000</t>
  </si>
  <si>
    <t>HR Coordinator</t>
  </si>
  <si>
    <t>Responsible for coordinating HR initiatives and procedures.</t>
  </si>
  <si>
    <t>$47000 - $85000</t>
  </si>
  <si>
    <t>Operations Assistant</t>
  </si>
  <si>
    <t>Responsible for assisting with operations management.</t>
  </si>
  <si>
    <t>$43000 - $70000</t>
  </si>
  <si>
    <t>Legal Coordinator</t>
  </si>
  <si>
    <t>Responsible for coordinating legal team activities.</t>
  </si>
  <si>
    <t>Finance Coordinator</t>
  </si>
  <si>
    <t>Responsible for coordinating finance team activities.</t>
  </si>
  <si>
    <t>$47000 - $80000</t>
  </si>
  <si>
    <t>Responsible for managing IT infrastructure and team.</t>
  </si>
  <si>
    <t>Salary_ID</t>
  </si>
  <si>
    <t>Amount</t>
  </si>
  <si>
    <t>Annual</t>
  </si>
  <si>
    <t>Bonus</t>
  </si>
  <si>
    <t>Payroll_ID</t>
  </si>
  <si>
    <t>Leave_ID</t>
  </si>
  <si>
    <t>Date</t>
  </si>
  <si>
    <t>Report</t>
  </si>
  <si>
    <t>Total_Amount</t>
  </si>
  <si>
    <t>April Payroll</t>
  </si>
  <si>
    <t>Department</t>
  </si>
  <si>
    <t>Salary</t>
  </si>
  <si>
    <t>Payroll</t>
  </si>
  <si>
    <t>Row Labels</t>
  </si>
  <si>
    <t>(blank)</t>
  </si>
  <si>
    <t>Grand Total</t>
  </si>
  <si>
    <t>Count of Emp_ID</t>
  </si>
  <si>
    <t>Department Headcount</t>
  </si>
  <si>
    <t>Sum of Salary</t>
  </si>
  <si>
    <t>Department Salary Cost</t>
  </si>
  <si>
    <t>Sum of Payroll</t>
  </si>
  <si>
    <t>Sum of Bonus</t>
  </si>
  <si>
    <t>Employee Payroll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</si>
</sst>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than Vakiti" refreshedDate="45992.949246296295" createdVersion="8" refreshedVersion="8" minRefreshableVersion="3" recordCount="105" xr:uid="{A34070B6-F0F3-4DFB-902D-30E60DC28146}">
  <cacheSource type="worksheet">
    <worksheetSource ref="A1:M1048576" sheet="Master_Data"/>
  </cacheSource>
  <cacheFields count="13">
    <cacheField name="Emp_ID" numFmtId="0">
      <sharedItems containsString="0" containsBlank="1" containsNumber="1" containsInteger="1" minValue="1" maxValue="60" count="6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m/>
      </sharedItems>
    </cacheField>
    <cacheField name="FirstName" numFmtId="0">
      <sharedItems containsBlank="1"/>
    </cacheField>
    <cacheField name="LastName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25" maxValue="55"/>
    </cacheField>
    <cacheField name="Contact_Add" numFmtId="0">
      <sharedItems containsBlank="1"/>
    </cacheField>
    <cacheField name="Emp_Email" numFmtId="0">
      <sharedItems containsBlank="1"/>
    </cacheField>
    <cacheField name="Emp_Pass" numFmtId="0">
      <sharedItems containsBlank="1"/>
    </cacheField>
    <cacheField name="Job_ID" numFmtId="0">
      <sharedItems containsString="0" containsBlank="1" containsNumber="1" containsInteger="1" minValue="1" maxValue="60"/>
    </cacheField>
    <cacheField name="Department" numFmtId="0">
      <sharedItems containsBlank="1" count="9">
        <s v="Operations"/>
        <s v="Finance"/>
        <s v="IT"/>
        <s v="Marketing"/>
        <s v="Engineering"/>
        <s v="Sales"/>
        <s v="HR"/>
        <s v="Legal"/>
        <m/>
      </sharedItems>
    </cacheField>
    <cacheField name="Salary" numFmtId="0">
      <sharedItems containsString="0" containsBlank="1" containsNumber="1" containsInteger="1" minValue="31000" maxValue="170000"/>
    </cacheField>
    <cacheField name="Bonus" numFmtId="0">
      <sharedItems containsString="0" containsBlank="1" containsNumber="1" containsInteger="1" minValue="3000" maxValue="35000"/>
    </cacheField>
    <cacheField name="Payroll" numFmtId="0">
      <sharedItems containsString="0" containsBlank="1" containsNumber="1" containsInteger="1" minValue="38500" maxValue="5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s v="John"/>
    <s v="Doe"/>
    <s v="M"/>
    <n v="30"/>
    <s v="123 Elm St, NY"/>
    <s v="john.doe@example.com"/>
    <s v="password123"/>
    <n v="1"/>
    <x v="0"/>
    <n v="45000"/>
    <n v="5000"/>
    <n v="40500"/>
  </r>
  <r>
    <x v="1"/>
    <s v="Jane"/>
    <s v="Smith"/>
    <s v="F"/>
    <n v="28"/>
    <s v="456 Maple Ave, CA"/>
    <s v="jane.smith@example.com"/>
    <s v="password123"/>
    <n v="2"/>
    <x v="1"/>
    <n v="55000"/>
    <n v="7000"/>
    <n v="45500"/>
  </r>
  <r>
    <x v="2"/>
    <s v="Alice"/>
    <s v="Brown"/>
    <s v="F"/>
    <n v="35"/>
    <s v="789 Oak St, TX"/>
    <s v="alice.brown@example.com"/>
    <s v="password123"/>
    <n v="3"/>
    <x v="2"/>
    <n v="40000"/>
    <n v="4000"/>
    <n v="39500"/>
  </r>
  <r>
    <x v="3"/>
    <s v="Bob"/>
    <s v="Johnson"/>
    <s v="M"/>
    <n v="40"/>
    <s v="101 Pine St, FL"/>
    <s v="bob.johnson@example.com"/>
    <s v="password123"/>
    <n v="4"/>
    <x v="3"/>
    <n v="48000"/>
    <n v="6000"/>
    <n v="43500"/>
  </r>
  <r>
    <x v="4"/>
    <s v="Charlie"/>
    <s v="Williams"/>
    <s v="M"/>
    <n v="33"/>
    <s v="202 Birch Rd, IL"/>
    <s v="charlie.williams@example.com"/>
    <s v="password123"/>
    <n v="5"/>
    <x v="1"/>
    <n v="47000"/>
    <n v="4500"/>
    <n v="38500"/>
  </r>
  <r>
    <x v="5"/>
    <s v="Dave"/>
    <s v="Miller"/>
    <s v="M"/>
    <n v="29"/>
    <s v="303 Cedar Blvd, NY"/>
    <s v="dave.miller@example.com"/>
    <s v="password123"/>
    <n v="6"/>
    <x v="4"/>
    <n v="65000"/>
    <n v="10000"/>
    <n v="42500"/>
  </r>
  <r>
    <x v="6"/>
    <s v="Eve"/>
    <s v="Davis"/>
    <s v="F"/>
    <n v="25"/>
    <s v="404 Maple Dr, TX"/>
    <s v="eve.davis@example.com"/>
    <s v="password123"/>
    <n v="7"/>
    <x v="5"/>
    <n v="80000"/>
    <n v="12000"/>
    <n v="44500"/>
  </r>
  <r>
    <x v="7"/>
    <s v="Frank"/>
    <s v="Wilson"/>
    <s v="M"/>
    <n v="38"/>
    <s v="505 Pine Ave, FL"/>
    <s v="frank.wilson@example.com"/>
    <s v="password123"/>
    <n v="8"/>
    <x v="2"/>
    <n v="42000"/>
    <n v="3500"/>
    <n v="45500"/>
  </r>
  <r>
    <x v="8"/>
    <s v="Grace"/>
    <s v="Moore"/>
    <s v="F"/>
    <n v="45"/>
    <s v="606 Oak Blvd, CA"/>
    <s v="grace.moore@example.com"/>
    <s v="password123"/>
    <n v="9"/>
    <x v="6"/>
    <n v="55000"/>
    <n v="7000"/>
    <n v="40500"/>
  </r>
  <r>
    <x v="9"/>
    <s v="Harry"/>
    <s v="Taylor"/>
    <s v="M"/>
    <n v="50"/>
    <s v="707 Elm Rd, NY"/>
    <s v="harry.taylor@example.com"/>
    <s v="password123"/>
    <n v="10"/>
    <x v="0"/>
    <n v="48000"/>
    <n v="5500"/>
    <n v="38500"/>
  </r>
  <r>
    <x v="10"/>
    <s v="Irene"/>
    <s v="Anderson"/>
    <s v="F"/>
    <n v="32"/>
    <s v="808 Maple St, FL"/>
    <s v="irene.anderson@example.com"/>
    <s v="password123"/>
    <n v="11"/>
    <x v="3"/>
    <n v="52000"/>
    <n v="6000"/>
    <n v="49500"/>
  </r>
  <r>
    <x v="11"/>
    <s v="Jack"/>
    <s v="Thomas"/>
    <s v="M"/>
    <n v="34"/>
    <s v="909 Pine Rd, TX"/>
    <s v="jack.thomas@example.com"/>
    <s v="password123"/>
    <n v="12"/>
    <x v="7"/>
    <n v="90000"/>
    <n v="15000"/>
    <n v="51500"/>
  </r>
  <r>
    <x v="12"/>
    <s v="Karen"/>
    <s v="Jackson"/>
    <s v="F"/>
    <n v="30"/>
    <s v="1010 Oak Dr, NY"/>
    <s v="karen.jackson@example.com"/>
    <s v="password123"/>
    <n v="13"/>
    <x v="1"/>
    <n v="60000"/>
    <n v="8000"/>
    <n v="50500"/>
  </r>
  <r>
    <x v="13"/>
    <s v="Louis"/>
    <s v="White"/>
    <s v="M"/>
    <n v="27"/>
    <s v="1111 Maple Blvd, FL"/>
    <s v="louis.white@example.com"/>
    <s v="password123"/>
    <n v="14"/>
    <x v="2"/>
    <n v="38000"/>
    <n v="3000"/>
    <n v="48500"/>
  </r>
  <r>
    <x v="14"/>
    <s v="Maria"/>
    <s v="Harris"/>
    <s v="F"/>
    <n v="41"/>
    <s v="1212 Cedar Ave, CA"/>
    <s v="maria.harris@example.com"/>
    <s v="password123"/>
    <n v="15"/>
    <x v="4"/>
    <n v="55000"/>
    <n v="6000"/>
    <n v="47500"/>
  </r>
  <r>
    <x v="15"/>
    <s v="Nathan"/>
    <s v="Martin"/>
    <s v="M"/>
    <n v="26"/>
    <s v="1313 Birch Rd, TX"/>
    <s v="nathan.martin@example.com"/>
    <s v="password123"/>
    <n v="16"/>
    <x v="3"/>
    <n v="53000"/>
    <n v="5500"/>
    <n v="50500"/>
  </r>
  <r>
    <x v="16"/>
    <s v="Olivia"/>
    <s v="Lee"/>
    <s v="F"/>
    <n v="50"/>
    <s v="1414 Oak Blvd, FL"/>
    <s v="olivia.lee@example.com"/>
    <s v="password123"/>
    <n v="17"/>
    <x v="5"/>
    <n v="47000"/>
    <n v="4500"/>
    <n v="49500"/>
  </r>
  <r>
    <x v="17"/>
    <s v="Paul"/>
    <s v="Clark"/>
    <s v="M"/>
    <n v="37"/>
    <s v="1515 Pine St, NY"/>
    <s v="paul.clark@example.com"/>
    <s v="password123"/>
    <n v="18"/>
    <x v="6"/>
    <n v="60000"/>
    <n v="7500"/>
    <n v="51500"/>
  </r>
  <r>
    <x v="18"/>
    <s v="Quinn"/>
    <s v="Lewis"/>
    <s v="F"/>
    <n v="31"/>
    <s v="1616 Cedar Blvd, CA"/>
    <s v="quinn.lewis@example.com"/>
    <s v="password123"/>
    <n v="19"/>
    <x v="0"/>
    <n v="95000"/>
    <n v="15000"/>
    <n v="49500"/>
  </r>
  <r>
    <x v="19"/>
    <s v="Rachel"/>
    <s v="Walker"/>
    <s v="F"/>
    <n v="28"/>
    <s v="1717 Birch Ave, TX"/>
    <s v="rachel.walker@example.com"/>
    <s v="password123"/>
    <n v="20"/>
    <x v="7"/>
    <n v="115000"/>
    <n v="20000"/>
    <n v="48500"/>
  </r>
  <r>
    <x v="20"/>
    <s v="Steve"/>
    <s v="Hall"/>
    <s v="M"/>
    <n v="46"/>
    <s v="1818 Maple Rd, FL"/>
    <s v="steve.hall@example.com"/>
    <s v="password123"/>
    <n v="21"/>
    <x v="1"/>
    <n v="95000"/>
    <n v="15000"/>
    <n v="46500"/>
  </r>
  <r>
    <x v="21"/>
    <s v="Tina"/>
    <s v="Allen"/>
    <s v="F"/>
    <n v="38"/>
    <s v="1919 Oak St, NY"/>
    <s v="tina.allen@example.com"/>
    <s v="password123"/>
    <n v="22"/>
    <x v="2"/>
    <n v="105000"/>
    <n v="18000"/>
    <n v="47500"/>
  </r>
  <r>
    <x v="22"/>
    <s v="Ulysses"/>
    <s v="Young"/>
    <s v="M"/>
    <n v="41"/>
    <s v="2020 Pine Blvd, TX"/>
    <s v="ulysses.young@example.com"/>
    <s v="password123"/>
    <n v="23"/>
    <x v="4"/>
    <n v="85000"/>
    <n v="12000"/>
    <n v="45500"/>
  </r>
  <r>
    <x v="23"/>
    <s v="Vanessa"/>
    <s v="King"/>
    <s v="F"/>
    <n v="34"/>
    <s v="2121 Cedar Rd, CA"/>
    <s v="vanessa.king@example.com"/>
    <s v="password123"/>
    <n v="24"/>
    <x v="5"/>
    <n v="95000"/>
    <n v="13000"/>
    <n v="47500"/>
  </r>
  <r>
    <x v="24"/>
    <s v="William"/>
    <s v="Scott"/>
    <s v="M"/>
    <n v="55"/>
    <s v="2222 Birch Blvd, FL"/>
    <s v="william.scott@example.com"/>
    <s v="password123"/>
    <n v="25"/>
    <x v="6"/>
    <n v="72000"/>
    <n v="8500"/>
    <n v="45500"/>
  </r>
  <r>
    <x v="25"/>
    <s v="Xavier"/>
    <s v="Adams"/>
    <s v="M"/>
    <n v="28"/>
    <s v="2323 Maple Ave, TX"/>
    <s v="xavier.adams@example.com"/>
    <s v="password123"/>
    <n v="26"/>
    <x v="0"/>
    <n v="105000"/>
    <n v="15000"/>
    <n v="46500"/>
  </r>
  <r>
    <x v="26"/>
    <s v="Yvonne"/>
    <s v="Nelson"/>
    <s v="F"/>
    <n v="42"/>
    <s v="2424 Oak Rd, CA"/>
    <s v="yvonne.nelson@example.com"/>
    <s v="password123"/>
    <n v="27"/>
    <x v="3"/>
    <n v="98000"/>
    <n v="13000"/>
    <n v="44500"/>
  </r>
  <r>
    <x v="27"/>
    <s v="Zack"/>
    <s v="Carter"/>
    <s v="M"/>
    <n v="36"/>
    <s v="2525 Pine Blvd, NY"/>
    <s v="zack.carter@example.com"/>
    <s v="password123"/>
    <n v="28"/>
    <x v="2"/>
    <n v="120000"/>
    <n v="20000"/>
    <n v="49500"/>
  </r>
  <r>
    <x v="28"/>
    <s v="Annabelle"/>
    <s v="Mitchell"/>
    <s v="F"/>
    <n v="29"/>
    <s v="2626 Cedar St, TX"/>
    <s v="annabelle.mitchell@example.com"/>
    <s v="password123"/>
    <n v="29"/>
    <x v="7"/>
    <n v="130000"/>
    <n v="22000"/>
    <n v="45500"/>
  </r>
  <r>
    <x v="29"/>
    <s v="Bruce"/>
    <s v="Roberts"/>
    <s v="M"/>
    <n v="50"/>
    <s v="2727 Birch Blvd, CA"/>
    <s v="bruce.roberts@example.com"/>
    <s v="password123"/>
    <n v="30"/>
    <x v="1"/>
    <n v="105000"/>
    <n v="15000"/>
    <n v="50500"/>
  </r>
  <r>
    <x v="30"/>
    <s v="Cindy"/>
    <s v="Perez"/>
    <s v="F"/>
    <n v="35"/>
    <s v="2828 Maple Blvd, FL"/>
    <s v="cindy.perez@example.com"/>
    <s v="password123"/>
    <n v="31"/>
    <x v="4"/>
    <n v="115000"/>
    <n v="18000"/>
    <n v="41500"/>
  </r>
  <r>
    <x v="31"/>
    <s v="Daniel"/>
    <s v="Lee"/>
    <s v="M"/>
    <n v="42"/>
    <s v="2929 Oak Blvd, TX"/>
    <s v="daniel.lee@example.com"/>
    <s v="password123"/>
    <n v="32"/>
    <x v="5"/>
    <n v="95000"/>
    <n v="14000"/>
    <n v="48500"/>
  </r>
  <r>
    <x v="32"/>
    <s v="Emma"/>
    <s v="Garcia"/>
    <s v="F"/>
    <n v="38"/>
    <s v="3030 Pine Rd, CA"/>
    <s v="emma.garcia@example.com"/>
    <s v="password123"/>
    <n v="33"/>
    <x v="6"/>
    <n v="120000"/>
    <n v="20000"/>
    <n v="49500"/>
  </r>
  <r>
    <x v="33"/>
    <s v="Frank"/>
    <s v="Davis"/>
    <s v="M"/>
    <n v="43"/>
    <s v="3131 Cedar Ave, NY"/>
    <s v="frank.davis@example.com"/>
    <s v="password123"/>
    <n v="34"/>
    <x v="0"/>
    <n v="135000"/>
    <n v="25000"/>
    <n v="46500"/>
  </r>
  <r>
    <x v="34"/>
    <s v="Grake"/>
    <s v="Moor"/>
    <s v="F"/>
    <n v="31"/>
    <s v="3232 Birch Rd, TX"/>
    <s v="grake.moor@example.com"/>
    <s v="password123"/>
    <n v="35"/>
    <x v="3"/>
    <n v="150000"/>
    <n v="30000"/>
    <n v="45500"/>
  </r>
  <r>
    <x v="35"/>
    <s v="Hank"/>
    <s v="Wilson"/>
    <s v="M"/>
    <n v="47"/>
    <s v="3333 Maple Dr, CA"/>
    <s v="hank.wilson@example.com"/>
    <s v="password123"/>
    <n v="36"/>
    <x v="2"/>
    <n v="150000"/>
    <n v="28000"/>
    <n v="43500"/>
  </r>
  <r>
    <x v="36"/>
    <s v="Ingrid"/>
    <s v="Adams"/>
    <s v="F"/>
    <n v="26"/>
    <s v="3434 Oak St, NY"/>
    <s v="ingrid.adams@example.com"/>
    <s v="password123"/>
    <n v="37"/>
    <x v="1"/>
    <n v="170000"/>
    <n v="35000"/>
    <n v="44500"/>
  </r>
  <r>
    <x v="37"/>
    <s v="John"/>
    <s v="Baker"/>
    <s v="M"/>
    <n v="32"/>
    <s v="3535 Pine Rd, TX"/>
    <s v="john.baker@example.com"/>
    <s v="password123"/>
    <n v="38"/>
    <x v="4"/>
    <n v="160000"/>
    <n v="33000"/>
    <n v="47500"/>
  </r>
  <r>
    <x v="38"/>
    <s v="Kelly"/>
    <s v="Cooper"/>
    <s v="F"/>
    <n v="40"/>
    <s v="3636 Cedar Blvd, CA"/>
    <s v="kelly.cooper@example.com"/>
    <s v="password123"/>
    <n v="39"/>
    <x v="5"/>
    <n v="140000"/>
    <n v="28000"/>
    <n v="45500"/>
  </r>
  <r>
    <x v="39"/>
    <s v="Leo"/>
    <s v="Rodriguez"/>
    <s v="M"/>
    <n v="28"/>
    <s v="3737 Birch Ave, TX"/>
    <s v="leo.rodriguez@example.com"/>
    <s v="password123"/>
    <n v="40"/>
    <x v="6"/>
    <n v="50000"/>
    <n v="6000"/>
    <n v="46500"/>
  </r>
  <r>
    <x v="40"/>
    <s v="Maria"/>
    <s v="Green"/>
    <s v="F"/>
    <n v="29"/>
    <s v="3838 Oak Rd, NY"/>
    <s v="maria.green@example.com"/>
    <s v="password123"/>
    <n v="41"/>
    <x v="0"/>
    <n v="48000"/>
    <n v="5000"/>
    <n v="48500"/>
  </r>
  <r>
    <x v="41"/>
    <s v="Nora"/>
    <s v="Harris"/>
    <s v="F"/>
    <n v="35"/>
    <s v="3939 Pine Blvd, CA"/>
    <s v="nora.harris@example.com"/>
    <s v="password123"/>
    <n v="42"/>
    <x v="3"/>
    <n v="45000"/>
    <n v="4500"/>
    <n v="43500"/>
  </r>
  <r>
    <x v="42"/>
    <s v="Oliver"/>
    <s v="Mitchell"/>
    <s v="M"/>
    <n v="39"/>
    <s v="4040 Cedar St, TX"/>
    <s v="oliver.mitchell@example.com"/>
    <s v="password123"/>
    <n v="43"/>
    <x v="1"/>
    <n v="32000"/>
    <n v="3000"/>
    <n v="49500"/>
  </r>
  <r>
    <x v="43"/>
    <s v="Pat"/>
    <s v="Collins"/>
    <s v="M"/>
    <n v="30"/>
    <s v="4141 Maple Rd, FL"/>
    <s v="pat.collins@example.com"/>
    <s v="password123"/>
    <n v="44"/>
    <x v="2"/>
    <n v="38000"/>
    <n v="4000"/>
    <n v="45500"/>
  </r>
  <r>
    <x v="44"/>
    <s v="Quinn"/>
    <s v="Walker"/>
    <s v="F"/>
    <n v="25"/>
    <s v="4242 Oak Blvd, TX"/>
    <s v="quinn.walker@example.com"/>
    <s v="password123"/>
    <n v="45"/>
    <x v="4"/>
    <n v="42000"/>
    <n v="3500"/>
    <n v="47500"/>
  </r>
  <r>
    <x v="45"/>
    <s v="Ryan"/>
    <s v="Nelson"/>
    <s v="M"/>
    <n v="32"/>
    <s v="4343 Pine Rd, CA"/>
    <s v="ryan.nelson@example.com"/>
    <s v="password123"/>
    <n v="46"/>
    <x v="5"/>
    <n v="33000"/>
    <n v="3000"/>
    <n v="48500"/>
  </r>
  <r>
    <x v="46"/>
    <s v="Sally"/>
    <s v="Clark"/>
    <s v="F"/>
    <n v="33"/>
    <s v="4444 Cedar Ave, NY"/>
    <s v="sally.clark@example.com"/>
    <s v="password123"/>
    <n v="47"/>
    <x v="3"/>
    <n v="35000"/>
    <n v="3500"/>
    <n v="46500"/>
  </r>
  <r>
    <x v="47"/>
    <s v="Tom"/>
    <s v="Perez"/>
    <s v="M"/>
    <n v="36"/>
    <s v="4545 Birch Blvd, TX"/>
    <s v="tom.perez@example.com"/>
    <s v="password123"/>
    <n v="48"/>
    <x v="6"/>
    <n v="34000"/>
    <n v="3200"/>
    <n v="43500"/>
  </r>
  <r>
    <x v="48"/>
    <s v="Ursula"/>
    <s v="Young"/>
    <s v="F"/>
    <n v="27"/>
    <s v="4646 Oak St, NY"/>
    <s v="ursula.young@example.com"/>
    <s v="password123"/>
    <n v="49"/>
    <x v="0"/>
    <n v="31000"/>
    <n v="3000"/>
    <n v="48500"/>
  </r>
  <r>
    <x v="49"/>
    <s v="Victor"/>
    <s v="Ward"/>
    <s v="M"/>
    <n v="41"/>
    <s v="4747 Maple Ave, TX"/>
    <s v="victor.ward@example.com"/>
    <s v="password123"/>
    <n v="50"/>
    <x v="7"/>
    <n v="40000"/>
    <n v="4500"/>
    <n v="47500"/>
  </r>
  <r>
    <x v="50"/>
    <s v="Wendy"/>
    <s v="Morgan"/>
    <s v="F"/>
    <n v="36"/>
    <s v="4848 Pine Rd, CA"/>
    <s v="wendy.morgan@example.com"/>
    <s v="password123"/>
    <n v="51"/>
    <x v="1"/>
    <n v="42000"/>
    <n v="4000"/>
    <n v="50500"/>
  </r>
  <r>
    <x v="51"/>
    <s v="Xavier"/>
    <s v="Lewis"/>
    <s v="M"/>
    <n v="28"/>
    <s v="4949 Cedar Blvd, NY"/>
    <s v="xavier.lewis@example.com"/>
    <s v="password123"/>
    <n v="52"/>
    <x v="2"/>
    <n v="35000"/>
    <n v="3500"/>
    <n v="46500"/>
  </r>
  <r>
    <x v="52"/>
    <s v="Yasmine"/>
    <s v="Robinson"/>
    <s v="F"/>
    <n v="34"/>
    <s v="5050 Birch Rd, TX"/>
    <s v="yasmine.robinson@example.com"/>
    <s v="password123"/>
    <n v="53"/>
    <x v="4"/>
    <n v="46000"/>
    <n v="5500"/>
    <n v="49500"/>
  </r>
  <r>
    <x v="53"/>
    <s v="Zachary"/>
    <s v="Wilson"/>
    <s v="M"/>
    <n v="38"/>
    <s v="5151 Oak Blvd, CA"/>
    <s v="zachary.wilson@example.com"/>
    <s v="password123"/>
    <n v="54"/>
    <x v="5"/>
    <n v="38000"/>
    <n v="4000"/>
    <n v="46500"/>
  </r>
  <r>
    <x v="54"/>
    <s v="Adam"/>
    <s v="Harris"/>
    <s v="M"/>
    <n v="31"/>
    <s v="5252 Maple Rd, TX"/>
    <s v="adam.harris@example.com"/>
    <s v="password123"/>
    <n v="55"/>
    <x v="3"/>
    <n v="44000"/>
    <n v="4500"/>
    <n v="43500"/>
  </r>
  <r>
    <x v="55"/>
    <s v="Brooke"/>
    <s v="Clark"/>
    <s v="F"/>
    <n v="40"/>
    <s v="5353 Pine Blvd, FL"/>
    <s v="brooke.clark@example.com"/>
    <s v="password123"/>
    <n v="56"/>
    <x v="6"/>
    <n v="47000"/>
    <n v="5000"/>
    <n v="42500"/>
  </r>
  <r>
    <x v="56"/>
    <s v="Connor"/>
    <s v="Scott"/>
    <s v="M"/>
    <n v="27"/>
    <s v="5454 Cedar Rd, NY"/>
    <s v="connor.scott@example.com"/>
    <s v="password123"/>
    <n v="57"/>
    <x v="0"/>
    <n v="43000"/>
    <n v="4000"/>
    <n v="48500"/>
  </r>
  <r>
    <x v="57"/>
    <s v="Daisy"/>
    <s v="Allen"/>
    <s v="F"/>
    <n v="35"/>
    <s v="5555 Birch Ave, TX"/>
    <s v="daisy.allen@example.com"/>
    <s v="password123"/>
    <n v="58"/>
    <x v="7"/>
    <n v="48000"/>
    <n v="5000"/>
    <n v="45500"/>
  </r>
  <r>
    <x v="58"/>
    <s v="Eli"/>
    <s v="Mitchell"/>
    <s v="M"/>
    <n v="33"/>
    <s v="5656 Oak Rd, CA"/>
    <s v="eli.mitchell@example.com"/>
    <s v="password123"/>
    <n v="59"/>
    <x v="1"/>
    <n v="45000"/>
    <n v="4500"/>
    <n v="44500"/>
  </r>
  <r>
    <x v="59"/>
    <s v="Fiona"/>
    <s v="Jackson"/>
    <s v="F"/>
    <n v="30"/>
    <s v="5757 Pine Blvd, TX"/>
    <s v="fiona.jackson@example.com"/>
    <s v="password123"/>
    <n v="60"/>
    <x v="2"/>
    <n v="70000"/>
    <n v="10000"/>
    <n v="47500"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  <r>
    <x v="60"/>
    <m/>
    <m/>
    <m/>
    <m/>
    <m/>
    <m/>
    <m/>
    <m/>
    <x v="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2BE49-8591-4109-A5A0-C0AB82CB763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6"/>
        <item x="2"/>
        <item x="7"/>
        <item x="3"/>
        <item x="0"/>
        <item x="5"/>
        <item x="8"/>
        <item t="default"/>
      </items>
    </pivotField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_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B0F0F-E602-48D0-B9E3-4BDD2BDFFCB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6"/>
        <item x="2"/>
        <item x="7"/>
        <item x="3"/>
        <item x="0"/>
        <item x="5"/>
        <item x="8"/>
        <item t="default"/>
      </items>
    </pivotField>
    <pivotField dataField="1"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ar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1C949-13C9-47F3-90CB-27AA43CD56DA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4" firstHeaderRow="0" firstDataRow="1" firstDataCol="1"/>
  <pivotFields count="13"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6"/>
        <item x="2"/>
        <item x="7"/>
        <item x="3"/>
        <item x="0"/>
        <item x="5"/>
        <item x="8"/>
        <item t="default"/>
      </items>
    </pivotField>
    <pivotField dataField="1" showAll="0"/>
    <pivotField dataField="1" showAll="0"/>
    <pivotField dataField="1" showAll="0"/>
  </pivotFields>
  <rowFields count="2">
    <field x="9"/>
    <field x="0"/>
  </rowFields>
  <rowItems count="71">
    <i>
      <x/>
    </i>
    <i r="1">
      <x v="5"/>
    </i>
    <i r="1">
      <x v="14"/>
    </i>
    <i r="1">
      <x v="22"/>
    </i>
    <i r="1">
      <x v="30"/>
    </i>
    <i r="1">
      <x v="37"/>
    </i>
    <i r="1">
      <x v="44"/>
    </i>
    <i r="1">
      <x v="52"/>
    </i>
    <i>
      <x v="1"/>
    </i>
    <i r="1">
      <x v="1"/>
    </i>
    <i r="1">
      <x v="4"/>
    </i>
    <i r="1">
      <x v="12"/>
    </i>
    <i r="1">
      <x v="20"/>
    </i>
    <i r="1">
      <x v="29"/>
    </i>
    <i r="1">
      <x v="36"/>
    </i>
    <i r="1">
      <x v="42"/>
    </i>
    <i r="1">
      <x v="50"/>
    </i>
    <i r="1">
      <x v="58"/>
    </i>
    <i>
      <x v="2"/>
    </i>
    <i r="1">
      <x v="8"/>
    </i>
    <i r="1">
      <x v="17"/>
    </i>
    <i r="1">
      <x v="24"/>
    </i>
    <i r="1">
      <x v="32"/>
    </i>
    <i r="1">
      <x v="39"/>
    </i>
    <i r="1">
      <x v="47"/>
    </i>
    <i r="1">
      <x v="55"/>
    </i>
    <i>
      <x v="3"/>
    </i>
    <i r="1">
      <x v="2"/>
    </i>
    <i r="1">
      <x v="7"/>
    </i>
    <i r="1">
      <x v="13"/>
    </i>
    <i r="1">
      <x v="21"/>
    </i>
    <i r="1">
      <x v="27"/>
    </i>
    <i r="1">
      <x v="35"/>
    </i>
    <i r="1">
      <x v="43"/>
    </i>
    <i r="1">
      <x v="51"/>
    </i>
    <i r="1">
      <x v="59"/>
    </i>
    <i>
      <x v="4"/>
    </i>
    <i r="1">
      <x v="11"/>
    </i>
    <i r="1">
      <x v="19"/>
    </i>
    <i r="1">
      <x v="28"/>
    </i>
    <i r="1">
      <x v="49"/>
    </i>
    <i r="1">
      <x v="57"/>
    </i>
    <i>
      <x v="5"/>
    </i>
    <i r="1">
      <x v="3"/>
    </i>
    <i r="1">
      <x v="10"/>
    </i>
    <i r="1">
      <x v="15"/>
    </i>
    <i r="1">
      <x v="26"/>
    </i>
    <i r="1">
      <x v="34"/>
    </i>
    <i r="1">
      <x v="41"/>
    </i>
    <i r="1">
      <x v="46"/>
    </i>
    <i r="1">
      <x v="54"/>
    </i>
    <i>
      <x v="6"/>
    </i>
    <i r="1">
      <x/>
    </i>
    <i r="1">
      <x v="9"/>
    </i>
    <i r="1">
      <x v="18"/>
    </i>
    <i r="1">
      <x v="25"/>
    </i>
    <i r="1">
      <x v="33"/>
    </i>
    <i r="1">
      <x v="40"/>
    </i>
    <i r="1">
      <x v="48"/>
    </i>
    <i r="1">
      <x v="56"/>
    </i>
    <i>
      <x v="7"/>
    </i>
    <i r="1">
      <x v="6"/>
    </i>
    <i r="1">
      <x v="16"/>
    </i>
    <i r="1">
      <x v="23"/>
    </i>
    <i r="1">
      <x v="31"/>
    </i>
    <i r="1">
      <x v="38"/>
    </i>
    <i r="1">
      <x v="45"/>
    </i>
    <i r="1">
      <x v="53"/>
    </i>
    <i>
      <x v="8"/>
    </i>
    <i r="1">
      <x v="6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ary" fld="10" baseField="0" baseItem="0"/>
    <dataField name="Sum of Bonus" fld="11" baseField="0" baseItem="0"/>
    <dataField name="Sum of Payro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5277-A655-4447-A1F7-673CB94A6EB9}">
  <dimension ref="A1:I61"/>
  <sheetViews>
    <sheetView topLeftCell="H37" workbookViewId="0">
      <selection sqref="A1:I6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>
        <v>30</v>
      </c>
      <c r="F2" t="s">
        <v>12</v>
      </c>
      <c r="G2" t="s">
        <v>13</v>
      </c>
      <c r="H2" t="s">
        <v>14</v>
      </c>
      <c r="I2">
        <v>1</v>
      </c>
    </row>
    <row r="3" spans="1:9" x14ac:dyDescent="0.35">
      <c r="A3">
        <v>2</v>
      </c>
      <c r="B3" t="s">
        <v>15</v>
      </c>
      <c r="C3" t="s">
        <v>16</v>
      </c>
      <c r="D3" t="s">
        <v>17</v>
      </c>
      <c r="E3">
        <v>28</v>
      </c>
      <c r="F3" t="s">
        <v>18</v>
      </c>
      <c r="G3" t="s">
        <v>19</v>
      </c>
      <c r="H3" t="s">
        <v>14</v>
      </c>
      <c r="I3">
        <v>2</v>
      </c>
    </row>
    <row r="4" spans="1:9" x14ac:dyDescent="0.35">
      <c r="A4">
        <v>3</v>
      </c>
      <c r="B4" t="s">
        <v>20</v>
      </c>
      <c r="C4" t="s">
        <v>21</v>
      </c>
      <c r="D4" t="s">
        <v>17</v>
      </c>
      <c r="E4">
        <v>35</v>
      </c>
      <c r="F4" t="s">
        <v>22</v>
      </c>
      <c r="G4" t="s">
        <v>23</v>
      </c>
      <c r="H4" t="s">
        <v>14</v>
      </c>
      <c r="I4">
        <v>3</v>
      </c>
    </row>
    <row r="5" spans="1:9" x14ac:dyDescent="0.35">
      <c r="A5">
        <v>4</v>
      </c>
      <c r="B5" t="s">
        <v>24</v>
      </c>
      <c r="C5" t="s">
        <v>25</v>
      </c>
      <c r="D5" t="s">
        <v>11</v>
      </c>
      <c r="E5">
        <v>40</v>
      </c>
      <c r="F5" t="s">
        <v>26</v>
      </c>
      <c r="G5" t="s">
        <v>27</v>
      </c>
      <c r="H5" t="s">
        <v>14</v>
      </c>
      <c r="I5">
        <v>4</v>
      </c>
    </row>
    <row r="6" spans="1:9" x14ac:dyDescent="0.35">
      <c r="A6">
        <v>5</v>
      </c>
      <c r="B6" t="s">
        <v>28</v>
      </c>
      <c r="C6" t="s">
        <v>29</v>
      </c>
      <c r="D6" t="s">
        <v>11</v>
      </c>
      <c r="E6">
        <v>33</v>
      </c>
      <c r="F6" t="s">
        <v>30</v>
      </c>
      <c r="G6" t="s">
        <v>31</v>
      </c>
      <c r="H6" t="s">
        <v>14</v>
      </c>
      <c r="I6">
        <v>5</v>
      </c>
    </row>
    <row r="7" spans="1:9" x14ac:dyDescent="0.35">
      <c r="A7">
        <v>6</v>
      </c>
      <c r="B7" t="s">
        <v>32</v>
      </c>
      <c r="C7" t="s">
        <v>33</v>
      </c>
      <c r="D7" t="s">
        <v>11</v>
      </c>
      <c r="E7">
        <v>29</v>
      </c>
      <c r="F7" t="s">
        <v>34</v>
      </c>
      <c r="G7" t="s">
        <v>35</v>
      </c>
      <c r="H7" t="s">
        <v>14</v>
      </c>
      <c r="I7">
        <v>6</v>
      </c>
    </row>
    <row r="8" spans="1:9" x14ac:dyDescent="0.35">
      <c r="A8">
        <v>7</v>
      </c>
      <c r="B8" t="s">
        <v>36</v>
      </c>
      <c r="C8" t="s">
        <v>37</v>
      </c>
      <c r="D8" t="s">
        <v>17</v>
      </c>
      <c r="E8">
        <v>25</v>
      </c>
      <c r="F8" t="s">
        <v>38</v>
      </c>
      <c r="G8" t="s">
        <v>39</v>
      </c>
      <c r="H8" t="s">
        <v>14</v>
      </c>
      <c r="I8">
        <v>7</v>
      </c>
    </row>
    <row r="9" spans="1:9" x14ac:dyDescent="0.35">
      <c r="A9">
        <v>8</v>
      </c>
      <c r="B9" t="s">
        <v>40</v>
      </c>
      <c r="C9" t="s">
        <v>41</v>
      </c>
      <c r="D9" t="s">
        <v>11</v>
      </c>
      <c r="E9">
        <v>38</v>
      </c>
      <c r="F9" t="s">
        <v>42</v>
      </c>
      <c r="G9" t="s">
        <v>43</v>
      </c>
      <c r="H9" t="s">
        <v>14</v>
      </c>
      <c r="I9">
        <v>8</v>
      </c>
    </row>
    <row r="10" spans="1:9" x14ac:dyDescent="0.35">
      <c r="A10">
        <v>9</v>
      </c>
      <c r="B10" t="s">
        <v>44</v>
      </c>
      <c r="C10" t="s">
        <v>45</v>
      </c>
      <c r="D10" t="s">
        <v>17</v>
      </c>
      <c r="E10">
        <v>45</v>
      </c>
      <c r="F10" t="s">
        <v>46</v>
      </c>
      <c r="G10" t="s">
        <v>47</v>
      </c>
      <c r="H10" t="s">
        <v>14</v>
      </c>
      <c r="I10">
        <v>9</v>
      </c>
    </row>
    <row r="11" spans="1:9" x14ac:dyDescent="0.35">
      <c r="A11">
        <v>10</v>
      </c>
      <c r="B11" t="s">
        <v>48</v>
      </c>
      <c r="C11" t="s">
        <v>49</v>
      </c>
      <c r="D11" t="s">
        <v>11</v>
      </c>
      <c r="E11">
        <v>50</v>
      </c>
      <c r="F11" t="s">
        <v>50</v>
      </c>
      <c r="G11" t="s">
        <v>51</v>
      </c>
      <c r="H11" t="s">
        <v>14</v>
      </c>
      <c r="I11">
        <v>10</v>
      </c>
    </row>
    <row r="12" spans="1:9" x14ac:dyDescent="0.35">
      <c r="A12">
        <v>11</v>
      </c>
      <c r="B12" t="s">
        <v>52</v>
      </c>
      <c r="C12" t="s">
        <v>53</v>
      </c>
      <c r="D12" t="s">
        <v>17</v>
      </c>
      <c r="E12">
        <v>32</v>
      </c>
      <c r="F12" t="s">
        <v>54</v>
      </c>
      <c r="G12" t="s">
        <v>55</v>
      </c>
      <c r="H12" t="s">
        <v>14</v>
      </c>
      <c r="I12">
        <v>11</v>
      </c>
    </row>
    <row r="13" spans="1:9" x14ac:dyDescent="0.35">
      <c r="A13">
        <v>12</v>
      </c>
      <c r="B13" t="s">
        <v>56</v>
      </c>
      <c r="C13" t="s">
        <v>57</v>
      </c>
      <c r="D13" t="s">
        <v>11</v>
      </c>
      <c r="E13">
        <v>34</v>
      </c>
      <c r="F13" t="s">
        <v>58</v>
      </c>
      <c r="G13" t="s">
        <v>59</v>
      </c>
      <c r="H13" t="s">
        <v>14</v>
      </c>
      <c r="I13">
        <v>12</v>
      </c>
    </row>
    <row r="14" spans="1:9" x14ac:dyDescent="0.35">
      <c r="A14">
        <v>13</v>
      </c>
      <c r="B14" t="s">
        <v>60</v>
      </c>
      <c r="C14" t="s">
        <v>61</v>
      </c>
      <c r="D14" t="s">
        <v>17</v>
      </c>
      <c r="E14">
        <v>30</v>
      </c>
      <c r="F14" t="s">
        <v>62</v>
      </c>
      <c r="G14" t="s">
        <v>63</v>
      </c>
      <c r="H14" t="s">
        <v>14</v>
      </c>
      <c r="I14">
        <v>13</v>
      </c>
    </row>
    <row r="15" spans="1:9" x14ac:dyDescent="0.35">
      <c r="A15">
        <v>14</v>
      </c>
      <c r="B15" t="s">
        <v>64</v>
      </c>
      <c r="C15" t="s">
        <v>65</v>
      </c>
      <c r="D15" t="s">
        <v>11</v>
      </c>
      <c r="E15">
        <v>27</v>
      </c>
      <c r="F15" t="s">
        <v>66</v>
      </c>
      <c r="G15" t="s">
        <v>67</v>
      </c>
      <c r="H15" t="s">
        <v>14</v>
      </c>
      <c r="I15">
        <v>14</v>
      </c>
    </row>
    <row r="16" spans="1:9" x14ac:dyDescent="0.35">
      <c r="A16">
        <v>15</v>
      </c>
      <c r="B16" t="s">
        <v>68</v>
      </c>
      <c r="C16" t="s">
        <v>69</v>
      </c>
      <c r="D16" t="s">
        <v>17</v>
      </c>
      <c r="E16">
        <v>41</v>
      </c>
      <c r="F16" t="s">
        <v>70</v>
      </c>
      <c r="G16" t="s">
        <v>71</v>
      </c>
      <c r="H16" t="s">
        <v>14</v>
      </c>
      <c r="I16">
        <v>15</v>
      </c>
    </row>
    <row r="17" spans="1:9" x14ac:dyDescent="0.35">
      <c r="A17">
        <v>16</v>
      </c>
      <c r="B17" t="s">
        <v>72</v>
      </c>
      <c r="C17" t="s">
        <v>73</v>
      </c>
      <c r="D17" t="s">
        <v>11</v>
      </c>
      <c r="E17">
        <v>26</v>
      </c>
      <c r="F17" t="s">
        <v>74</v>
      </c>
      <c r="G17" t="s">
        <v>75</v>
      </c>
      <c r="H17" t="s">
        <v>14</v>
      </c>
      <c r="I17">
        <v>16</v>
      </c>
    </row>
    <row r="18" spans="1:9" x14ac:dyDescent="0.35">
      <c r="A18">
        <v>17</v>
      </c>
      <c r="B18" t="s">
        <v>76</v>
      </c>
      <c r="C18" t="s">
        <v>77</v>
      </c>
      <c r="D18" t="s">
        <v>17</v>
      </c>
      <c r="E18">
        <v>50</v>
      </c>
      <c r="F18" t="s">
        <v>78</v>
      </c>
      <c r="G18" t="s">
        <v>79</v>
      </c>
      <c r="H18" t="s">
        <v>14</v>
      </c>
      <c r="I18">
        <v>17</v>
      </c>
    </row>
    <row r="19" spans="1:9" x14ac:dyDescent="0.35">
      <c r="A19">
        <v>18</v>
      </c>
      <c r="B19" t="s">
        <v>80</v>
      </c>
      <c r="C19" t="s">
        <v>81</v>
      </c>
      <c r="D19" t="s">
        <v>11</v>
      </c>
      <c r="E19">
        <v>37</v>
      </c>
      <c r="F19" t="s">
        <v>82</v>
      </c>
      <c r="G19" t="s">
        <v>83</v>
      </c>
      <c r="H19" t="s">
        <v>14</v>
      </c>
      <c r="I19">
        <v>18</v>
      </c>
    </row>
    <row r="20" spans="1:9" x14ac:dyDescent="0.35">
      <c r="A20">
        <v>19</v>
      </c>
      <c r="B20" t="s">
        <v>84</v>
      </c>
      <c r="C20" t="s">
        <v>85</v>
      </c>
      <c r="D20" t="s">
        <v>17</v>
      </c>
      <c r="E20">
        <v>31</v>
      </c>
      <c r="F20" t="s">
        <v>86</v>
      </c>
      <c r="G20" t="s">
        <v>87</v>
      </c>
      <c r="H20" t="s">
        <v>14</v>
      </c>
      <c r="I20">
        <v>19</v>
      </c>
    </row>
    <row r="21" spans="1:9" x14ac:dyDescent="0.35">
      <c r="A21">
        <v>20</v>
      </c>
      <c r="B21" t="s">
        <v>88</v>
      </c>
      <c r="C21" t="s">
        <v>89</v>
      </c>
      <c r="D21" t="s">
        <v>17</v>
      </c>
      <c r="E21">
        <v>28</v>
      </c>
      <c r="F21" t="s">
        <v>90</v>
      </c>
      <c r="G21" t="s">
        <v>91</v>
      </c>
      <c r="H21" t="s">
        <v>14</v>
      </c>
      <c r="I21">
        <v>20</v>
      </c>
    </row>
    <row r="22" spans="1:9" x14ac:dyDescent="0.35">
      <c r="A22">
        <v>21</v>
      </c>
      <c r="B22" t="s">
        <v>92</v>
      </c>
      <c r="C22" t="s">
        <v>93</v>
      </c>
      <c r="D22" t="s">
        <v>11</v>
      </c>
      <c r="E22">
        <v>46</v>
      </c>
      <c r="F22" t="s">
        <v>94</v>
      </c>
      <c r="G22" t="s">
        <v>95</v>
      </c>
      <c r="H22" t="s">
        <v>14</v>
      </c>
      <c r="I22">
        <v>21</v>
      </c>
    </row>
    <row r="23" spans="1:9" x14ac:dyDescent="0.35">
      <c r="A23">
        <v>22</v>
      </c>
      <c r="B23" t="s">
        <v>96</v>
      </c>
      <c r="C23" t="s">
        <v>97</v>
      </c>
      <c r="D23" t="s">
        <v>17</v>
      </c>
      <c r="E23">
        <v>38</v>
      </c>
      <c r="F23" t="s">
        <v>98</v>
      </c>
      <c r="G23" t="s">
        <v>99</v>
      </c>
      <c r="H23" t="s">
        <v>14</v>
      </c>
      <c r="I23">
        <v>22</v>
      </c>
    </row>
    <row r="24" spans="1:9" x14ac:dyDescent="0.35">
      <c r="A24">
        <v>23</v>
      </c>
      <c r="B24" t="s">
        <v>100</v>
      </c>
      <c r="C24" t="s">
        <v>101</v>
      </c>
      <c r="D24" t="s">
        <v>11</v>
      </c>
      <c r="E24">
        <v>41</v>
      </c>
      <c r="F24" t="s">
        <v>102</v>
      </c>
      <c r="G24" t="s">
        <v>103</v>
      </c>
      <c r="H24" t="s">
        <v>14</v>
      </c>
      <c r="I24">
        <v>23</v>
      </c>
    </row>
    <row r="25" spans="1:9" x14ac:dyDescent="0.35">
      <c r="A25">
        <v>24</v>
      </c>
      <c r="B25" t="s">
        <v>104</v>
      </c>
      <c r="C25" t="s">
        <v>105</v>
      </c>
      <c r="D25" t="s">
        <v>17</v>
      </c>
      <c r="E25">
        <v>34</v>
      </c>
      <c r="F25" t="s">
        <v>106</v>
      </c>
      <c r="G25" t="s">
        <v>107</v>
      </c>
      <c r="H25" t="s">
        <v>14</v>
      </c>
      <c r="I25">
        <v>24</v>
      </c>
    </row>
    <row r="26" spans="1:9" x14ac:dyDescent="0.35">
      <c r="A26">
        <v>25</v>
      </c>
      <c r="B26" t="s">
        <v>108</v>
      </c>
      <c r="C26" t="s">
        <v>109</v>
      </c>
      <c r="D26" t="s">
        <v>11</v>
      </c>
      <c r="E26">
        <v>55</v>
      </c>
      <c r="F26" t="s">
        <v>110</v>
      </c>
      <c r="G26" t="s">
        <v>111</v>
      </c>
      <c r="H26" t="s">
        <v>14</v>
      </c>
      <c r="I26">
        <v>25</v>
      </c>
    </row>
    <row r="27" spans="1:9" x14ac:dyDescent="0.35">
      <c r="A27">
        <v>26</v>
      </c>
      <c r="B27" t="s">
        <v>112</v>
      </c>
      <c r="C27" t="s">
        <v>113</v>
      </c>
      <c r="D27" t="s">
        <v>11</v>
      </c>
      <c r="E27">
        <v>28</v>
      </c>
      <c r="F27" t="s">
        <v>114</v>
      </c>
      <c r="G27" t="s">
        <v>115</v>
      </c>
      <c r="H27" t="s">
        <v>14</v>
      </c>
      <c r="I27">
        <v>26</v>
      </c>
    </row>
    <row r="28" spans="1:9" x14ac:dyDescent="0.35">
      <c r="A28">
        <v>27</v>
      </c>
      <c r="B28" t="s">
        <v>116</v>
      </c>
      <c r="C28" t="s">
        <v>117</v>
      </c>
      <c r="D28" t="s">
        <v>17</v>
      </c>
      <c r="E28">
        <v>42</v>
      </c>
      <c r="F28" t="s">
        <v>118</v>
      </c>
      <c r="G28" t="s">
        <v>119</v>
      </c>
      <c r="H28" t="s">
        <v>14</v>
      </c>
      <c r="I28">
        <v>27</v>
      </c>
    </row>
    <row r="29" spans="1:9" x14ac:dyDescent="0.35">
      <c r="A29">
        <v>28</v>
      </c>
      <c r="B29" t="s">
        <v>120</v>
      </c>
      <c r="C29" t="s">
        <v>121</v>
      </c>
      <c r="D29" t="s">
        <v>11</v>
      </c>
      <c r="E29">
        <v>36</v>
      </c>
      <c r="F29" t="s">
        <v>122</v>
      </c>
      <c r="G29" t="s">
        <v>123</v>
      </c>
      <c r="H29" t="s">
        <v>14</v>
      </c>
      <c r="I29">
        <v>28</v>
      </c>
    </row>
    <row r="30" spans="1:9" x14ac:dyDescent="0.35">
      <c r="A30">
        <v>29</v>
      </c>
      <c r="B30" t="s">
        <v>124</v>
      </c>
      <c r="C30" t="s">
        <v>125</v>
      </c>
      <c r="D30" t="s">
        <v>17</v>
      </c>
      <c r="E30">
        <v>29</v>
      </c>
      <c r="F30" t="s">
        <v>126</v>
      </c>
      <c r="G30" t="s">
        <v>127</v>
      </c>
      <c r="H30" t="s">
        <v>14</v>
      </c>
      <c r="I30">
        <v>29</v>
      </c>
    </row>
    <row r="31" spans="1:9" x14ac:dyDescent="0.35">
      <c r="A31">
        <v>30</v>
      </c>
      <c r="B31" t="s">
        <v>128</v>
      </c>
      <c r="C31" t="s">
        <v>129</v>
      </c>
      <c r="D31" t="s">
        <v>11</v>
      </c>
      <c r="E31">
        <v>50</v>
      </c>
      <c r="F31" t="s">
        <v>130</v>
      </c>
      <c r="G31" t="s">
        <v>131</v>
      </c>
      <c r="H31" t="s">
        <v>14</v>
      </c>
      <c r="I31">
        <v>30</v>
      </c>
    </row>
    <row r="32" spans="1:9" x14ac:dyDescent="0.35">
      <c r="A32">
        <v>31</v>
      </c>
      <c r="B32" t="s">
        <v>132</v>
      </c>
      <c r="C32" t="s">
        <v>133</v>
      </c>
      <c r="D32" t="s">
        <v>17</v>
      </c>
      <c r="E32">
        <v>35</v>
      </c>
      <c r="F32" t="s">
        <v>134</v>
      </c>
      <c r="G32" t="s">
        <v>135</v>
      </c>
      <c r="H32" t="s">
        <v>14</v>
      </c>
      <c r="I32">
        <v>31</v>
      </c>
    </row>
    <row r="33" spans="1:9" x14ac:dyDescent="0.35">
      <c r="A33">
        <v>32</v>
      </c>
      <c r="B33" t="s">
        <v>136</v>
      </c>
      <c r="C33" t="s">
        <v>77</v>
      </c>
      <c r="D33" t="s">
        <v>11</v>
      </c>
      <c r="E33">
        <v>42</v>
      </c>
      <c r="F33" t="s">
        <v>137</v>
      </c>
      <c r="G33" t="s">
        <v>138</v>
      </c>
      <c r="H33" t="s">
        <v>14</v>
      </c>
      <c r="I33">
        <v>32</v>
      </c>
    </row>
    <row r="34" spans="1:9" x14ac:dyDescent="0.35">
      <c r="A34">
        <v>33</v>
      </c>
      <c r="B34" t="s">
        <v>139</v>
      </c>
      <c r="C34" t="s">
        <v>140</v>
      </c>
      <c r="D34" t="s">
        <v>17</v>
      </c>
      <c r="E34">
        <v>38</v>
      </c>
      <c r="F34" t="s">
        <v>141</v>
      </c>
      <c r="G34" t="s">
        <v>142</v>
      </c>
      <c r="H34" t="s">
        <v>14</v>
      </c>
      <c r="I34">
        <v>33</v>
      </c>
    </row>
    <row r="35" spans="1:9" x14ac:dyDescent="0.35">
      <c r="A35">
        <v>34</v>
      </c>
      <c r="B35" t="s">
        <v>40</v>
      </c>
      <c r="C35" t="s">
        <v>37</v>
      </c>
      <c r="D35" t="s">
        <v>11</v>
      </c>
      <c r="E35">
        <v>43</v>
      </c>
      <c r="F35" t="s">
        <v>143</v>
      </c>
      <c r="G35" t="s">
        <v>144</v>
      </c>
      <c r="H35" t="s">
        <v>14</v>
      </c>
      <c r="I35">
        <v>34</v>
      </c>
    </row>
    <row r="36" spans="1:9" x14ac:dyDescent="0.35">
      <c r="A36">
        <v>35</v>
      </c>
      <c r="B36" t="s">
        <v>145</v>
      </c>
      <c r="C36" t="s">
        <v>146</v>
      </c>
      <c r="D36" t="s">
        <v>17</v>
      </c>
      <c r="E36">
        <v>31</v>
      </c>
      <c r="F36" t="s">
        <v>147</v>
      </c>
      <c r="G36" t="s">
        <v>148</v>
      </c>
      <c r="H36" t="s">
        <v>14</v>
      </c>
      <c r="I36">
        <v>35</v>
      </c>
    </row>
    <row r="37" spans="1:9" x14ac:dyDescent="0.35">
      <c r="A37">
        <v>36</v>
      </c>
      <c r="B37" t="s">
        <v>149</v>
      </c>
      <c r="C37" t="s">
        <v>41</v>
      </c>
      <c r="D37" t="s">
        <v>11</v>
      </c>
      <c r="E37">
        <v>47</v>
      </c>
      <c r="F37" t="s">
        <v>150</v>
      </c>
      <c r="G37" t="s">
        <v>151</v>
      </c>
      <c r="H37" t="s">
        <v>14</v>
      </c>
      <c r="I37">
        <v>36</v>
      </c>
    </row>
    <row r="38" spans="1:9" x14ac:dyDescent="0.35">
      <c r="A38">
        <v>37</v>
      </c>
      <c r="B38" t="s">
        <v>152</v>
      </c>
      <c r="C38" t="s">
        <v>113</v>
      </c>
      <c r="D38" t="s">
        <v>17</v>
      </c>
      <c r="E38">
        <v>26</v>
      </c>
      <c r="F38" t="s">
        <v>153</v>
      </c>
      <c r="G38" t="s">
        <v>154</v>
      </c>
      <c r="H38" t="s">
        <v>14</v>
      </c>
      <c r="I38">
        <v>37</v>
      </c>
    </row>
    <row r="39" spans="1:9" x14ac:dyDescent="0.35">
      <c r="A39">
        <v>38</v>
      </c>
      <c r="B39" t="s">
        <v>9</v>
      </c>
      <c r="C39" t="s">
        <v>155</v>
      </c>
      <c r="D39" t="s">
        <v>11</v>
      </c>
      <c r="E39">
        <v>32</v>
      </c>
      <c r="F39" t="s">
        <v>156</v>
      </c>
      <c r="G39" t="s">
        <v>157</v>
      </c>
      <c r="H39" t="s">
        <v>14</v>
      </c>
      <c r="I39">
        <v>38</v>
      </c>
    </row>
    <row r="40" spans="1:9" x14ac:dyDescent="0.35">
      <c r="A40">
        <v>39</v>
      </c>
      <c r="B40" t="s">
        <v>158</v>
      </c>
      <c r="C40" t="s">
        <v>159</v>
      </c>
      <c r="D40" t="s">
        <v>17</v>
      </c>
      <c r="E40">
        <v>40</v>
      </c>
      <c r="F40" t="s">
        <v>160</v>
      </c>
      <c r="G40" t="s">
        <v>161</v>
      </c>
      <c r="H40" t="s">
        <v>14</v>
      </c>
      <c r="I40">
        <v>39</v>
      </c>
    </row>
    <row r="41" spans="1:9" x14ac:dyDescent="0.35">
      <c r="A41">
        <v>40</v>
      </c>
      <c r="B41" t="s">
        <v>162</v>
      </c>
      <c r="C41" t="s">
        <v>163</v>
      </c>
      <c r="D41" t="s">
        <v>11</v>
      </c>
      <c r="E41">
        <v>28</v>
      </c>
      <c r="F41" t="s">
        <v>164</v>
      </c>
      <c r="G41" t="s">
        <v>165</v>
      </c>
      <c r="H41" t="s">
        <v>14</v>
      </c>
      <c r="I41">
        <v>40</v>
      </c>
    </row>
    <row r="42" spans="1:9" x14ac:dyDescent="0.35">
      <c r="A42">
        <v>41</v>
      </c>
      <c r="B42" t="s">
        <v>68</v>
      </c>
      <c r="C42" t="s">
        <v>166</v>
      </c>
      <c r="D42" t="s">
        <v>17</v>
      </c>
      <c r="E42">
        <v>29</v>
      </c>
      <c r="F42" t="s">
        <v>167</v>
      </c>
      <c r="G42" t="s">
        <v>168</v>
      </c>
      <c r="H42" t="s">
        <v>14</v>
      </c>
      <c r="I42">
        <v>41</v>
      </c>
    </row>
    <row r="43" spans="1:9" x14ac:dyDescent="0.35">
      <c r="A43">
        <v>42</v>
      </c>
      <c r="B43" t="s">
        <v>169</v>
      </c>
      <c r="C43" t="s">
        <v>69</v>
      </c>
      <c r="D43" t="s">
        <v>17</v>
      </c>
      <c r="E43">
        <v>35</v>
      </c>
      <c r="F43" t="s">
        <v>170</v>
      </c>
      <c r="G43" t="s">
        <v>171</v>
      </c>
      <c r="H43" t="s">
        <v>14</v>
      </c>
      <c r="I43">
        <v>42</v>
      </c>
    </row>
    <row r="44" spans="1:9" x14ac:dyDescent="0.35">
      <c r="A44">
        <v>43</v>
      </c>
      <c r="B44" t="s">
        <v>172</v>
      </c>
      <c r="C44" t="s">
        <v>125</v>
      </c>
      <c r="D44" t="s">
        <v>11</v>
      </c>
      <c r="E44">
        <v>39</v>
      </c>
      <c r="F44" t="s">
        <v>173</v>
      </c>
      <c r="G44" t="s">
        <v>174</v>
      </c>
      <c r="H44" t="s">
        <v>14</v>
      </c>
      <c r="I44">
        <v>43</v>
      </c>
    </row>
    <row r="45" spans="1:9" x14ac:dyDescent="0.35">
      <c r="A45">
        <v>44</v>
      </c>
      <c r="B45" t="s">
        <v>175</v>
      </c>
      <c r="C45" t="s">
        <v>176</v>
      </c>
      <c r="D45" t="s">
        <v>11</v>
      </c>
      <c r="E45">
        <v>30</v>
      </c>
      <c r="F45" t="s">
        <v>177</v>
      </c>
      <c r="G45" t="s">
        <v>178</v>
      </c>
      <c r="H45" t="s">
        <v>14</v>
      </c>
      <c r="I45">
        <v>44</v>
      </c>
    </row>
    <row r="46" spans="1:9" x14ac:dyDescent="0.35">
      <c r="A46">
        <v>45</v>
      </c>
      <c r="B46" t="s">
        <v>84</v>
      </c>
      <c r="C46" t="s">
        <v>89</v>
      </c>
      <c r="D46" t="s">
        <v>17</v>
      </c>
      <c r="E46">
        <v>25</v>
      </c>
      <c r="F46" t="s">
        <v>179</v>
      </c>
      <c r="G46" t="s">
        <v>180</v>
      </c>
      <c r="H46" t="s">
        <v>14</v>
      </c>
      <c r="I46">
        <v>45</v>
      </c>
    </row>
    <row r="47" spans="1:9" x14ac:dyDescent="0.35">
      <c r="A47">
        <v>46</v>
      </c>
      <c r="B47" t="s">
        <v>181</v>
      </c>
      <c r="C47" t="s">
        <v>117</v>
      </c>
      <c r="D47" t="s">
        <v>11</v>
      </c>
      <c r="E47">
        <v>32</v>
      </c>
      <c r="F47" t="s">
        <v>182</v>
      </c>
      <c r="G47" t="s">
        <v>183</v>
      </c>
      <c r="H47" t="s">
        <v>14</v>
      </c>
      <c r="I47">
        <v>46</v>
      </c>
    </row>
    <row r="48" spans="1:9" x14ac:dyDescent="0.35">
      <c r="A48">
        <v>47</v>
      </c>
      <c r="B48" t="s">
        <v>184</v>
      </c>
      <c r="C48" t="s">
        <v>81</v>
      </c>
      <c r="D48" t="s">
        <v>17</v>
      </c>
      <c r="E48">
        <v>33</v>
      </c>
      <c r="F48" t="s">
        <v>185</v>
      </c>
      <c r="G48" t="s">
        <v>186</v>
      </c>
      <c r="H48" t="s">
        <v>14</v>
      </c>
      <c r="I48">
        <v>47</v>
      </c>
    </row>
    <row r="49" spans="1:9" x14ac:dyDescent="0.35">
      <c r="A49">
        <v>48</v>
      </c>
      <c r="B49" t="s">
        <v>187</v>
      </c>
      <c r="C49" t="s">
        <v>133</v>
      </c>
      <c r="D49" t="s">
        <v>11</v>
      </c>
      <c r="E49">
        <v>36</v>
      </c>
      <c r="F49" t="s">
        <v>188</v>
      </c>
      <c r="G49" t="s">
        <v>189</v>
      </c>
      <c r="H49" t="s">
        <v>14</v>
      </c>
      <c r="I49">
        <v>48</v>
      </c>
    </row>
    <row r="50" spans="1:9" x14ac:dyDescent="0.35">
      <c r="A50">
        <v>49</v>
      </c>
      <c r="B50" t="s">
        <v>190</v>
      </c>
      <c r="C50" t="s">
        <v>101</v>
      </c>
      <c r="D50" t="s">
        <v>17</v>
      </c>
      <c r="E50">
        <v>27</v>
      </c>
      <c r="F50" t="s">
        <v>191</v>
      </c>
      <c r="G50" t="s">
        <v>192</v>
      </c>
      <c r="H50" t="s">
        <v>14</v>
      </c>
      <c r="I50">
        <v>49</v>
      </c>
    </row>
    <row r="51" spans="1:9" x14ac:dyDescent="0.35">
      <c r="A51">
        <v>50</v>
      </c>
      <c r="B51" t="s">
        <v>193</v>
      </c>
      <c r="C51" t="s">
        <v>194</v>
      </c>
      <c r="D51" t="s">
        <v>11</v>
      </c>
      <c r="E51">
        <v>41</v>
      </c>
      <c r="F51" t="s">
        <v>195</v>
      </c>
      <c r="G51" t="s">
        <v>196</v>
      </c>
      <c r="H51" t="s">
        <v>14</v>
      </c>
      <c r="I51">
        <v>50</v>
      </c>
    </row>
    <row r="52" spans="1:9" x14ac:dyDescent="0.35">
      <c r="A52">
        <v>51</v>
      </c>
      <c r="B52" t="s">
        <v>197</v>
      </c>
      <c r="C52" t="s">
        <v>198</v>
      </c>
      <c r="D52" t="s">
        <v>17</v>
      </c>
      <c r="E52">
        <v>36</v>
      </c>
      <c r="F52" t="s">
        <v>199</v>
      </c>
      <c r="G52" t="s">
        <v>200</v>
      </c>
      <c r="H52" t="s">
        <v>14</v>
      </c>
      <c r="I52">
        <v>51</v>
      </c>
    </row>
    <row r="53" spans="1:9" x14ac:dyDescent="0.35">
      <c r="A53">
        <v>52</v>
      </c>
      <c r="B53" t="s">
        <v>112</v>
      </c>
      <c r="C53" t="s">
        <v>85</v>
      </c>
      <c r="D53" t="s">
        <v>11</v>
      </c>
      <c r="E53">
        <v>28</v>
      </c>
      <c r="F53" t="s">
        <v>201</v>
      </c>
      <c r="G53" t="s">
        <v>202</v>
      </c>
      <c r="H53" t="s">
        <v>14</v>
      </c>
      <c r="I53">
        <v>52</v>
      </c>
    </row>
    <row r="54" spans="1:9" x14ac:dyDescent="0.35">
      <c r="A54">
        <v>53</v>
      </c>
      <c r="B54" t="s">
        <v>203</v>
      </c>
      <c r="C54" t="s">
        <v>204</v>
      </c>
      <c r="D54" t="s">
        <v>17</v>
      </c>
      <c r="E54">
        <v>34</v>
      </c>
      <c r="F54" t="s">
        <v>205</v>
      </c>
      <c r="G54" t="s">
        <v>206</v>
      </c>
      <c r="H54" t="s">
        <v>14</v>
      </c>
      <c r="I54">
        <v>53</v>
      </c>
    </row>
    <row r="55" spans="1:9" x14ac:dyDescent="0.35">
      <c r="A55">
        <v>54</v>
      </c>
      <c r="B55" t="s">
        <v>207</v>
      </c>
      <c r="C55" t="s">
        <v>41</v>
      </c>
      <c r="D55" t="s">
        <v>11</v>
      </c>
      <c r="E55">
        <v>38</v>
      </c>
      <c r="F55" t="s">
        <v>208</v>
      </c>
      <c r="G55" t="s">
        <v>209</v>
      </c>
      <c r="H55" t="s">
        <v>14</v>
      </c>
      <c r="I55">
        <v>54</v>
      </c>
    </row>
    <row r="56" spans="1:9" x14ac:dyDescent="0.35">
      <c r="A56">
        <v>55</v>
      </c>
      <c r="B56" t="s">
        <v>210</v>
      </c>
      <c r="C56" t="s">
        <v>69</v>
      </c>
      <c r="D56" t="s">
        <v>11</v>
      </c>
      <c r="E56">
        <v>31</v>
      </c>
      <c r="F56" t="s">
        <v>211</v>
      </c>
      <c r="G56" t="s">
        <v>212</v>
      </c>
      <c r="H56" t="s">
        <v>14</v>
      </c>
      <c r="I56">
        <v>55</v>
      </c>
    </row>
    <row r="57" spans="1:9" x14ac:dyDescent="0.35">
      <c r="A57">
        <v>56</v>
      </c>
      <c r="B57" t="s">
        <v>213</v>
      </c>
      <c r="C57" t="s">
        <v>81</v>
      </c>
      <c r="D57" t="s">
        <v>17</v>
      </c>
      <c r="E57">
        <v>40</v>
      </c>
      <c r="F57" t="s">
        <v>214</v>
      </c>
      <c r="G57" t="s">
        <v>215</v>
      </c>
      <c r="H57" t="s">
        <v>14</v>
      </c>
      <c r="I57">
        <v>56</v>
      </c>
    </row>
    <row r="58" spans="1:9" x14ac:dyDescent="0.35">
      <c r="A58">
        <v>57</v>
      </c>
      <c r="B58" t="s">
        <v>216</v>
      </c>
      <c r="C58" t="s">
        <v>109</v>
      </c>
      <c r="D58" t="s">
        <v>11</v>
      </c>
      <c r="E58">
        <v>27</v>
      </c>
      <c r="F58" t="s">
        <v>217</v>
      </c>
      <c r="G58" t="s">
        <v>218</v>
      </c>
      <c r="H58" t="s">
        <v>14</v>
      </c>
      <c r="I58">
        <v>57</v>
      </c>
    </row>
    <row r="59" spans="1:9" x14ac:dyDescent="0.35">
      <c r="A59">
        <v>58</v>
      </c>
      <c r="B59" t="s">
        <v>219</v>
      </c>
      <c r="C59" t="s">
        <v>97</v>
      </c>
      <c r="D59" t="s">
        <v>17</v>
      </c>
      <c r="E59">
        <v>35</v>
      </c>
      <c r="F59" t="s">
        <v>220</v>
      </c>
      <c r="G59" t="s">
        <v>221</v>
      </c>
      <c r="H59" t="s">
        <v>14</v>
      </c>
      <c r="I59">
        <v>58</v>
      </c>
    </row>
    <row r="60" spans="1:9" x14ac:dyDescent="0.35">
      <c r="A60">
        <v>59</v>
      </c>
      <c r="B60" t="s">
        <v>222</v>
      </c>
      <c r="C60" t="s">
        <v>125</v>
      </c>
      <c r="D60" t="s">
        <v>11</v>
      </c>
      <c r="E60">
        <v>33</v>
      </c>
      <c r="F60" t="s">
        <v>223</v>
      </c>
      <c r="G60" t="s">
        <v>224</v>
      </c>
      <c r="H60" t="s">
        <v>14</v>
      </c>
      <c r="I60">
        <v>59</v>
      </c>
    </row>
    <row r="61" spans="1:9" x14ac:dyDescent="0.35">
      <c r="A61">
        <v>60</v>
      </c>
      <c r="B61" t="s">
        <v>225</v>
      </c>
      <c r="C61" t="s">
        <v>61</v>
      </c>
      <c r="D61" t="s">
        <v>17</v>
      </c>
      <c r="E61">
        <v>30</v>
      </c>
      <c r="F61" t="s">
        <v>226</v>
      </c>
      <c r="G61" t="s">
        <v>227</v>
      </c>
      <c r="H61" t="s">
        <v>14</v>
      </c>
      <c r="I6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D766-93E1-4DA1-944A-8EA22B355778}">
  <dimension ref="A1:E61"/>
  <sheetViews>
    <sheetView topLeftCell="A3" workbookViewId="0">
      <selection sqref="A1:E61"/>
    </sheetView>
  </sheetViews>
  <sheetFormatPr defaultRowHeight="14.5" x14ac:dyDescent="0.35"/>
  <sheetData>
    <row r="1" spans="1:5" x14ac:dyDescent="0.35">
      <c r="A1" t="s">
        <v>8</v>
      </c>
      <c r="B1" t="s">
        <v>228</v>
      </c>
      <c r="C1" t="s">
        <v>229</v>
      </c>
      <c r="D1" t="s">
        <v>230</v>
      </c>
      <c r="E1" t="s">
        <v>231</v>
      </c>
    </row>
    <row r="2" spans="1:5" x14ac:dyDescent="0.35">
      <c r="A2">
        <v>1</v>
      </c>
      <c r="B2" t="s">
        <v>232</v>
      </c>
      <c r="C2" t="s">
        <v>233</v>
      </c>
      <c r="D2" t="s">
        <v>234</v>
      </c>
      <c r="E2" t="s">
        <v>235</v>
      </c>
    </row>
    <row r="3" spans="1:5" x14ac:dyDescent="0.35">
      <c r="A3">
        <v>2</v>
      </c>
      <c r="B3" t="s">
        <v>236</v>
      </c>
      <c r="C3" t="s">
        <v>237</v>
      </c>
      <c r="D3" t="s">
        <v>238</v>
      </c>
      <c r="E3" t="s">
        <v>239</v>
      </c>
    </row>
    <row r="4" spans="1:5" x14ac:dyDescent="0.35">
      <c r="A4">
        <v>3</v>
      </c>
      <c r="B4" t="s">
        <v>240</v>
      </c>
      <c r="C4" t="s">
        <v>241</v>
      </c>
      <c r="D4" t="s">
        <v>242</v>
      </c>
      <c r="E4" t="s">
        <v>243</v>
      </c>
    </row>
    <row r="5" spans="1:5" x14ac:dyDescent="0.35">
      <c r="A5">
        <v>4</v>
      </c>
      <c r="B5" t="s">
        <v>244</v>
      </c>
      <c r="C5" t="s">
        <v>245</v>
      </c>
      <c r="D5" t="s">
        <v>246</v>
      </c>
      <c r="E5" t="s">
        <v>247</v>
      </c>
    </row>
    <row r="6" spans="1:5" x14ac:dyDescent="0.35">
      <c r="A6">
        <v>5</v>
      </c>
      <c r="B6" t="s">
        <v>236</v>
      </c>
      <c r="C6" t="s">
        <v>248</v>
      </c>
      <c r="D6" t="s">
        <v>249</v>
      </c>
      <c r="E6" t="s">
        <v>250</v>
      </c>
    </row>
    <row r="7" spans="1:5" x14ac:dyDescent="0.35">
      <c r="A7">
        <v>6</v>
      </c>
      <c r="B7" t="s">
        <v>251</v>
      </c>
      <c r="C7" t="s">
        <v>252</v>
      </c>
      <c r="D7" t="s">
        <v>253</v>
      </c>
      <c r="E7" t="s">
        <v>254</v>
      </c>
    </row>
    <row r="8" spans="1:5" x14ac:dyDescent="0.35">
      <c r="A8">
        <v>7</v>
      </c>
      <c r="B8" t="s">
        <v>255</v>
      </c>
      <c r="C8" t="s">
        <v>256</v>
      </c>
      <c r="D8" t="s">
        <v>257</v>
      </c>
      <c r="E8" t="s">
        <v>258</v>
      </c>
    </row>
    <row r="9" spans="1:5" x14ac:dyDescent="0.35">
      <c r="A9">
        <v>8</v>
      </c>
      <c r="B9" t="s">
        <v>240</v>
      </c>
      <c r="C9" t="s">
        <v>259</v>
      </c>
      <c r="D9" t="s">
        <v>260</v>
      </c>
      <c r="E9" t="s">
        <v>261</v>
      </c>
    </row>
    <row r="10" spans="1:5" x14ac:dyDescent="0.35">
      <c r="A10">
        <v>9</v>
      </c>
      <c r="B10" t="s">
        <v>262</v>
      </c>
      <c r="C10" t="s">
        <v>263</v>
      </c>
      <c r="D10" t="s">
        <v>264</v>
      </c>
      <c r="E10" t="s">
        <v>265</v>
      </c>
    </row>
    <row r="11" spans="1:5" x14ac:dyDescent="0.35">
      <c r="A11">
        <v>10</v>
      </c>
      <c r="B11" t="s">
        <v>232</v>
      </c>
      <c r="C11" t="s">
        <v>266</v>
      </c>
      <c r="D11" t="s">
        <v>267</v>
      </c>
      <c r="E11" t="s">
        <v>268</v>
      </c>
    </row>
    <row r="12" spans="1:5" x14ac:dyDescent="0.35">
      <c r="A12">
        <v>11</v>
      </c>
      <c r="B12" t="s">
        <v>244</v>
      </c>
      <c r="C12" t="s">
        <v>269</v>
      </c>
      <c r="D12" t="s">
        <v>270</v>
      </c>
      <c r="E12" t="s">
        <v>271</v>
      </c>
    </row>
    <row r="13" spans="1:5" x14ac:dyDescent="0.35">
      <c r="A13">
        <v>12</v>
      </c>
      <c r="B13" t="s">
        <v>272</v>
      </c>
      <c r="C13" t="s">
        <v>273</v>
      </c>
      <c r="D13" t="s">
        <v>274</v>
      </c>
      <c r="E13" t="s">
        <v>275</v>
      </c>
    </row>
    <row r="14" spans="1:5" x14ac:dyDescent="0.35">
      <c r="A14">
        <v>13</v>
      </c>
      <c r="B14" t="s">
        <v>236</v>
      </c>
      <c r="C14" t="s">
        <v>276</v>
      </c>
      <c r="D14" t="s">
        <v>277</v>
      </c>
      <c r="E14" t="s">
        <v>278</v>
      </c>
    </row>
    <row r="15" spans="1:5" x14ac:dyDescent="0.35">
      <c r="A15">
        <v>14</v>
      </c>
      <c r="B15" t="s">
        <v>240</v>
      </c>
      <c r="C15" t="s">
        <v>279</v>
      </c>
      <c r="D15" t="s">
        <v>280</v>
      </c>
      <c r="E15" t="s">
        <v>281</v>
      </c>
    </row>
    <row r="16" spans="1:5" x14ac:dyDescent="0.35">
      <c r="A16">
        <v>15</v>
      </c>
      <c r="B16" t="s">
        <v>251</v>
      </c>
      <c r="C16" t="s">
        <v>282</v>
      </c>
      <c r="D16" t="s">
        <v>283</v>
      </c>
      <c r="E16" t="s">
        <v>284</v>
      </c>
    </row>
    <row r="17" spans="1:5" x14ac:dyDescent="0.35">
      <c r="A17">
        <v>16</v>
      </c>
      <c r="B17" t="s">
        <v>244</v>
      </c>
      <c r="C17" t="s">
        <v>285</v>
      </c>
      <c r="D17" t="s">
        <v>286</v>
      </c>
      <c r="E17" t="s">
        <v>287</v>
      </c>
    </row>
    <row r="18" spans="1:5" x14ac:dyDescent="0.35">
      <c r="A18">
        <v>17</v>
      </c>
      <c r="B18" t="s">
        <v>255</v>
      </c>
      <c r="C18" t="s">
        <v>288</v>
      </c>
      <c r="D18" t="s">
        <v>289</v>
      </c>
      <c r="E18" t="s">
        <v>290</v>
      </c>
    </row>
    <row r="19" spans="1:5" x14ac:dyDescent="0.35">
      <c r="A19">
        <v>18</v>
      </c>
      <c r="B19" t="s">
        <v>262</v>
      </c>
      <c r="C19" t="s">
        <v>291</v>
      </c>
      <c r="D19" t="s">
        <v>292</v>
      </c>
      <c r="E19" t="s">
        <v>293</v>
      </c>
    </row>
    <row r="20" spans="1:5" x14ac:dyDescent="0.35">
      <c r="A20">
        <v>19</v>
      </c>
      <c r="B20" t="s">
        <v>232</v>
      </c>
      <c r="C20" t="s">
        <v>294</v>
      </c>
      <c r="D20" t="s">
        <v>295</v>
      </c>
      <c r="E20" t="s">
        <v>296</v>
      </c>
    </row>
    <row r="21" spans="1:5" x14ac:dyDescent="0.35">
      <c r="A21">
        <v>20</v>
      </c>
      <c r="B21" t="s">
        <v>272</v>
      </c>
      <c r="C21" t="s">
        <v>297</v>
      </c>
      <c r="D21" t="s">
        <v>298</v>
      </c>
      <c r="E21" t="s">
        <v>299</v>
      </c>
    </row>
    <row r="22" spans="1:5" x14ac:dyDescent="0.35">
      <c r="A22">
        <v>21</v>
      </c>
      <c r="B22" t="s">
        <v>236</v>
      </c>
      <c r="C22" t="s">
        <v>300</v>
      </c>
      <c r="D22" t="s">
        <v>301</v>
      </c>
      <c r="E22" t="s">
        <v>302</v>
      </c>
    </row>
    <row r="23" spans="1:5" x14ac:dyDescent="0.35">
      <c r="A23">
        <v>22</v>
      </c>
      <c r="B23" t="s">
        <v>240</v>
      </c>
      <c r="C23" t="s">
        <v>303</v>
      </c>
      <c r="D23" t="s">
        <v>304</v>
      </c>
      <c r="E23" t="s">
        <v>305</v>
      </c>
    </row>
    <row r="24" spans="1:5" x14ac:dyDescent="0.35">
      <c r="A24">
        <v>23</v>
      </c>
      <c r="B24" t="s">
        <v>251</v>
      </c>
      <c r="C24" t="s">
        <v>306</v>
      </c>
      <c r="D24" t="s">
        <v>307</v>
      </c>
      <c r="E24" t="s">
        <v>308</v>
      </c>
    </row>
    <row r="25" spans="1:5" x14ac:dyDescent="0.35">
      <c r="A25">
        <v>24</v>
      </c>
      <c r="B25" t="s">
        <v>255</v>
      </c>
      <c r="C25" t="s">
        <v>309</v>
      </c>
      <c r="D25" t="s">
        <v>310</v>
      </c>
      <c r="E25" t="s">
        <v>311</v>
      </c>
    </row>
    <row r="26" spans="1:5" x14ac:dyDescent="0.35">
      <c r="A26">
        <v>25</v>
      </c>
      <c r="B26" t="s">
        <v>262</v>
      </c>
      <c r="C26" t="s">
        <v>312</v>
      </c>
      <c r="D26" t="s">
        <v>313</v>
      </c>
      <c r="E26" t="s">
        <v>314</v>
      </c>
    </row>
    <row r="27" spans="1:5" x14ac:dyDescent="0.35">
      <c r="A27">
        <v>26</v>
      </c>
      <c r="B27" t="s">
        <v>232</v>
      </c>
      <c r="C27" t="s">
        <v>315</v>
      </c>
      <c r="D27" t="s">
        <v>316</v>
      </c>
      <c r="E27" t="s">
        <v>275</v>
      </c>
    </row>
    <row r="28" spans="1:5" x14ac:dyDescent="0.35">
      <c r="A28">
        <v>27</v>
      </c>
      <c r="B28" t="s">
        <v>244</v>
      </c>
      <c r="C28" t="s">
        <v>317</v>
      </c>
      <c r="D28" t="s">
        <v>318</v>
      </c>
      <c r="E28" t="s">
        <v>319</v>
      </c>
    </row>
    <row r="29" spans="1:5" x14ac:dyDescent="0.35">
      <c r="A29">
        <v>28</v>
      </c>
      <c r="B29" t="s">
        <v>240</v>
      </c>
      <c r="C29" t="s">
        <v>320</v>
      </c>
      <c r="D29" t="s">
        <v>321</v>
      </c>
      <c r="E29" t="s">
        <v>322</v>
      </c>
    </row>
    <row r="30" spans="1:5" x14ac:dyDescent="0.35">
      <c r="A30">
        <v>29</v>
      </c>
      <c r="B30" t="s">
        <v>272</v>
      </c>
      <c r="C30" t="s">
        <v>323</v>
      </c>
      <c r="D30" t="s">
        <v>324</v>
      </c>
      <c r="E30" t="s">
        <v>325</v>
      </c>
    </row>
    <row r="31" spans="1:5" x14ac:dyDescent="0.35">
      <c r="A31">
        <v>30</v>
      </c>
      <c r="B31" t="s">
        <v>236</v>
      </c>
      <c r="C31" t="s">
        <v>326</v>
      </c>
      <c r="D31" t="s">
        <v>327</v>
      </c>
      <c r="E31" t="s">
        <v>328</v>
      </c>
    </row>
    <row r="32" spans="1:5" x14ac:dyDescent="0.35">
      <c r="A32">
        <v>31</v>
      </c>
      <c r="B32" t="s">
        <v>251</v>
      </c>
      <c r="C32" t="s">
        <v>329</v>
      </c>
      <c r="D32" t="s">
        <v>330</v>
      </c>
      <c r="E32" t="s">
        <v>331</v>
      </c>
    </row>
    <row r="33" spans="1:5" x14ac:dyDescent="0.35">
      <c r="A33">
        <v>32</v>
      </c>
      <c r="B33" t="s">
        <v>255</v>
      </c>
      <c r="C33" t="s">
        <v>332</v>
      </c>
      <c r="D33" t="s">
        <v>333</v>
      </c>
      <c r="E33" t="s">
        <v>334</v>
      </c>
    </row>
    <row r="34" spans="1:5" x14ac:dyDescent="0.35">
      <c r="A34">
        <v>33</v>
      </c>
      <c r="B34" t="s">
        <v>262</v>
      </c>
      <c r="C34" t="s">
        <v>335</v>
      </c>
      <c r="D34" t="s">
        <v>336</v>
      </c>
      <c r="E34" t="s">
        <v>325</v>
      </c>
    </row>
    <row r="35" spans="1:5" x14ac:dyDescent="0.35">
      <c r="A35">
        <v>34</v>
      </c>
      <c r="B35" t="s">
        <v>232</v>
      </c>
      <c r="C35" t="s">
        <v>337</v>
      </c>
      <c r="D35" t="s">
        <v>338</v>
      </c>
      <c r="E35" t="s">
        <v>339</v>
      </c>
    </row>
    <row r="36" spans="1:5" x14ac:dyDescent="0.35">
      <c r="A36">
        <v>35</v>
      </c>
      <c r="B36" t="s">
        <v>244</v>
      </c>
      <c r="C36" t="s">
        <v>340</v>
      </c>
      <c r="D36" t="s">
        <v>341</v>
      </c>
      <c r="E36" t="s">
        <v>342</v>
      </c>
    </row>
    <row r="37" spans="1:5" x14ac:dyDescent="0.35">
      <c r="A37">
        <v>36</v>
      </c>
      <c r="B37" t="s">
        <v>240</v>
      </c>
      <c r="C37" t="s">
        <v>343</v>
      </c>
      <c r="D37" t="s">
        <v>344</v>
      </c>
      <c r="E37" t="s">
        <v>345</v>
      </c>
    </row>
    <row r="38" spans="1:5" x14ac:dyDescent="0.35">
      <c r="A38">
        <v>37</v>
      </c>
      <c r="B38" t="s">
        <v>236</v>
      </c>
      <c r="C38" t="s">
        <v>346</v>
      </c>
      <c r="D38" t="s">
        <v>347</v>
      </c>
      <c r="E38" t="s">
        <v>348</v>
      </c>
    </row>
    <row r="39" spans="1:5" x14ac:dyDescent="0.35">
      <c r="A39">
        <v>38</v>
      </c>
      <c r="B39" t="s">
        <v>251</v>
      </c>
      <c r="C39" t="s">
        <v>349</v>
      </c>
      <c r="D39" t="s">
        <v>350</v>
      </c>
      <c r="E39" t="s">
        <v>351</v>
      </c>
    </row>
    <row r="40" spans="1:5" x14ac:dyDescent="0.35">
      <c r="A40">
        <v>39</v>
      </c>
      <c r="B40" t="s">
        <v>255</v>
      </c>
      <c r="C40" t="s">
        <v>352</v>
      </c>
      <c r="D40" t="s">
        <v>353</v>
      </c>
      <c r="E40" t="s">
        <v>354</v>
      </c>
    </row>
    <row r="41" spans="1:5" x14ac:dyDescent="0.35">
      <c r="A41">
        <v>40</v>
      </c>
      <c r="B41" t="s">
        <v>262</v>
      </c>
      <c r="C41" t="s">
        <v>355</v>
      </c>
      <c r="D41" t="s">
        <v>356</v>
      </c>
      <c r="E41" t="s">
        <v>287</v>
      </c>
    </row>
    <row r="42" spans="1:5" x14ac:dyDescent="0.35">
      <c r="A42">
        <v>41</v>
      </c>
      <c r="B42" t="s">
        <v>232</v>
      </c>
      <c r="C42" t="s">
        <v>357</v>
      </c>
      <c r="D42" t="s">
        <v>358</v>
      </c>
      <c r="E42" t="s">
        <v>271</v>
      </c>
    </row>
    <row r="43" spans="1:5" x14ac:dyDescent="0.35">
      <c r="A43">
        <v>42</v>
      </c>
      <c r="B43" t="s">
        <v>244</v>
      </c>
      <c r="C43" t="s">
        <v>359</v>
      </c>
      <c r="D43" t="s">
        <v>360</v>
      </c>
      <c r="E43" t="s">
        <v>361</v>
      </c>
    </row>
    <row r="44" spans="1:5" x14ac:dyDescent="0.35">
      <c r="A44">
        <v>43</v>
      </c>
      <c r="B44" t="s">
        <v>236</v>
      </c>
      <c r="C44" t="s">
        <v>362</v>
      </c>
      <c r="D44" t="s">
        <v>363</v>
      </c>
      <c r="E44" t="s">
        <v>364</v>
      </c>
    </row>
    <row r="45" spans="1:5" x14ac:dyDescent="0.35">
      <c r="A45">
        <v>44</v>
      </c>
      <c r="B45" t="s">
        <v>240</v>
      </c>
      <c r="C45" t="s">
        <v>365</v>
      </c>
      <c r="D45" t="s">
        <v>366</v>
      </c>
      <c r="E45" t="s">
        <v>367</v>
      </c>
    </row>
    <row r="46" spans="1:5" x14ac:dyDescent="0.35">
      <c r="A46">
        <v>45</v>
      </c>
      <c r="B46" t="s">
        <v>251</v>
      </c>
      <c r="C46" t="s">
        <v>368</v>
      </c>
      <c r="D46" t="s">
        <v>369</v>
      </c>
      <c r="E46" t="s">
        <v>370</v>
      </c>
    </row>
    <row r="47" spans="1:5" x14ac:dyDescent="0.35">
      <c r="A47">
        <v>46</v>
      </c>
      <c r="B47" t="s">
        <v>255</v>
      </c>
      <c r="C47" t="s">
        <v>371</v>
      </c>
      <c r="D47" t="s">
        <v>372</v>
      </c>
      <c r="E47" t="s">
        <v>373</v>
      </c>
    </row>
    <row r="48" spans="1:5" x14ac:dyDescent="0.35">
      <c r="A48">
        <v>47</v>
      </c>
      <c r="B48" t="s">
        <v>244</v>
      </c>
      <c r="C48" t="s">
        <v>374</v>
      </c>
      <c r="D48" t="s">
        <v>375</v>
      </c>
      <c r="E48" t="s">
        <v>376</v>
      </c>
    </row>
    <row r="49" spans="1:5" x14ac:dyDescent="0.35">
      <c r="A49">
        <v>48</v>
      </c>
      <c r="B49" t="s">
        <v>262</v>
      </c>
      <c r="C49" t="s">
        <v>377</v>
      </c>
      <c r="D49" t="s">
        <v>378</v>
      </c>
      <c r="E49" t="s">
        <v>379</v>
      </c>
    </row>
    <row r="50" spans="1:5" x14ac:dyDescent="0.35">
      <c r="A50">
        <v>49</v>
      </c>
      <c r="B50" t="s">
        <v>232</v>
      </c>
      <c r="C50" t="s">
        <v>380</v>
      </c>
      <c r="D50" t="s">
        <v>381</v>
      </c>
      <c r="E50" t="s">
        <v>382</v>
      </c>
    </row>
    <row r="51" spans="1:5" x14ac:dyDescent="0.35">
      <c r="A51">
        <v>50</v>
      </c>
      <c r="B51" t="s">
        <v>272</v>
      </c>
      <c r="C51" t="s">
        <v>383</v>
      </c>
      <c r="D51" t="s">
        <v>384</v>
      </c>
      <c r="E51" t="s">
        <v>385</v>
      </c>
    </row>
    <row r="52" spans="1:5" x14ac:dyDescent="0.35">
      <c r="A52">
        <v>51</v>
      </c>
      <c r="B52" t="s">
        <v>236</v>
      </c>
      <c r="C52" t="s">
        <v>386</v>
      </c>
      <c r="D52" t="s">
        <v>387</v>
      </c>
      <c r="E52" t="s">
        <v>373</v>
      </c>
    </row>
    <row r="53" spans="1:5" x14ac:dyDescent="0.35">
      <c r="A53">
        <v>52</v>
      </c>
      <c r="B53" t="s">
        <v>240</v>
      </c>
      <c r="C53" t="s">
        <v>388</v>
      </c>
      <c r="D53" t="s">
        <v>389</v>
      </c>
      <c r="E53" t="s">
        <v>390</v>
      </c>
    </row>
    <row r="54" spans="1:5" x14ac:dyDescent="0.35">
      <c r="A54">
        <v>53</v>
      </c>
      <c r="B54" t="s">
        <v>251</v>
      </c>
      <c r="C54" t="s">
        <v>391</v>
      </c>
      <c r="D54" t="s">
        <v>392</v>
      </c>
      <c r="E54" t="s">
        <v>393</v>
      </c>
    </row>
    <row r="55" spans="1:5" x14ac:dyDescent="0.35">
      <c r="A55">
        <v>54</v>
      </c>
      <c r="B55" t="s">
        <v>255</v>
      </c>
      <c r="C55" t="s">
        <v>394</v>
      </c>
      <c r="D55" t="s">
        <v>395</v>
      </c>
      <c r="E55" t="s">
        <v>396</v>
      </c>
    </row>
    <row r="56" spans="1:5" x14ac:dyDescent="0.35">
      <c r="A56">
        <v>55</v>
      </c>
      <c r="B56" t="s">
        <v>244</v>
      </c>
      <c r="C56" t="s">
        <v>269</v>
      </c>
      <c r="D56" t="s">
        <v>397</v>
      </c>
      <c r="E56" t="s">
        <v>398</v>
      </c>
    </row>
    <row r="57" spans="1:5" x14ac:dyDescent="0.35">
      <c r="A57">
        <v>56</v>
      </c>
      <c r="B57" t="s">
        <v>262</v>
      </c>
      <c r="C57" t="s">
        <v>399</v>
      </c>
      <c r="D57" t="s">
        <v>400</v>
      </c>
      <c r="E57" t="s">
        <v>401</v>
      </c>
    </row>
    <row r="58" spans="1:5" x14ac:dyDescent="0.35">
      <c r="A58">
        <v>57</v>
      </c>
      <c r="B58" t="s">
        <v>232</v>
      </c>
      <c r="C58" t="s">
        <v>402</v>
      </c>
      <c r="D58" t="s">
        <v>403</v>
      </c>
      <c r="E58" t="s">
        <v>404</v>
      </c>
    </row>
    <row r="59" spans="1:5" x14ac:dyDescent="0.35">
      <c r="A59">
        <v>58</v>
      </c>
      <c r="B59" t="s">
        <v>272</v>
      </c>
      <c r="C59" t="s">
        <v>405</v>
      </c>
      <c r="D59" t="s">
        <v>406</v>
      </c>
      <c r="E59" t="s">
        <v>361</v>
      </c>
    </row>
    <row r="60" spans="1:5" x14ac:dyDescent="0.35">
      <c r="A60">
        <v>59</v>
      </c>
      <c r="B60" t="s">
        <v>236</v>
      </c>
      <c r="C60" t="s">
        <v>407</v>
      </c>
      <c r="D60" t="s">
        <v>408</v>
      </c>
      <c r="E60" t="s">
        <v>409</v>
      </c>
    </row>
    <row r="61" spans="1:5" x14ac:dyDescent="0.35">
      <c r="A61">
        <v>60</v>
      </c>
      <c r="B61" t="s">
        <v>240</v>
      </c>
      <c r="C61" t="s">
        <v>303</v>
      </c>
      <c r="D61" t="s">
        <v>410</v>
      </c>
      <c r="E61" t="s">
        <v>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3DE8-F580-49EE-8ED6-254C7DB43FDE}">
  <dimension ref="A1:E61"/>
  <sheetViews>
    <sheetView topLeftCell="A4" workbookViewId="0">
      <selection sqref="A1:E61"/>
    </sheetView>
  </sheetViews>
  <sheetFormatPr defaultRowHeight="14.5" x14ac:dyDescent="0.35"/>
  <sheetData>
    <row r="1" spans="1:5" x14ac:dyDescent="0.35">
      <c r="A1" t="s">
        <v>411</v>
      </c>
      <c r="B1" t="s">
        <v>8</v>
      </c>
      <c r="C1" t="s">
        <v>412</v>
      </c>
      <c r="D1" t="s">
        <v>413</v>
      </c>
      <c r="E1" t="s">
        <v>414</v>
      </c>
    </row>
    <row r="2" spans="1:5" x14ac:dyDescent="0.35">
      <c r="A2">
        <v>1</v>
      </c>
      <c r="B2">
        <v>1</v>
      </c>
      <c r="C2">
        <v>45000</v>
      </c>
      <c r="D2">
        <v>540000</v>
      </c>
      <c r="E2">
        <v>5000</v>
      </c>
    </row>
    <row r="3" spans="1:5" x14ac:dyDescent="0.35">
      <c r="A3">
        <v>2</v>
      </c>
      <c r="B3">
        <v>2</v>
      </c>
      <c r="C3">
        <v>55000</v>
      </c>
      <c r="D3">
        <v>660000</v>
      </c>
      <c r="E3">
        <v>7000</v>
      </c>
    </row>
    <row r="4" spans="1:5" x14ac:dyDescent="0.35">
      <c r="A4">
        <v>3</v>
      </c>
      <c r="B4">
        <v>3</v>
      </c>
      <c r="C4">
        <v>40000</v>
      </c>
      <c r="D4">
        <v>480000</v>
      </c>
      <c r="E4">
        <v>4000</v>
      </c>
    </row>
    <row r="5" spans="1:5" x14ac:dyDescent="0.35">
      <c r="A5">
        <v>4</v>
      </c>
      <c r="B5">
        <v>4</v>
      </c>
      <c r="C5">
        <v>48000</v>
      </c>
      <c r="D5">
        <v>576000</v>
      </c>
      <c r="E5">
        <v>6000</v>
      </c>
    </row>
    <row r="6" spans="1:5" x14ac:dyDescent="0.35">
      <c r="A6">
        <v>5</v>
      </c>
      <c r="B6">
        <v>5</v>
      </c>
      <c r="C6">
        <v>47000</v>
      </c>
      <c r="D6">
        <v>564000</v>
      </c>
      <c r="E6">
        <v>4500</v>
      </c>
    </row>
    <row r="7" spans="1:5" x14ac:dyDescent="0.35">
      <c r="A7">
        <v>6</v>
      </c>
      <c r="B7">
        <v>6</v>
      </c>
      <c r="C7">
        <v>65000</v>
      </c>
      <c r="D7">
        <v>780000</v>
      </c>
      <c r="E7">
        <v>10000</v>
      </c>
    </row>
    <row r="8" spans="1:5" x14ac:dyDescent="0.35">
      <c r="A8">
        <v>7</v>
      </c>
      <c r="B8">
        <v>7</v>
      </c>
      <c r="C8">
        <v>80000</v>
      </c>
      <c r="D8">
        <v>960000</v>
      </c>
      <c r="E8">
        <v>12000</v>
      </c>
    </row>
    <row r="9" spans="1:5" x14ac:dyDescent="0.35">
      <c r="A9">
        <v>8</v>
      </c>
      <c r="B9">
        <v>8</v>
      </c>
      <c r="C9">
        <v>42000</v>
      </c>
      <c r="D9">
        <v>504000</v>
      </c>
      <c r="E9">
        <v>3500</v>
      </c>
    </row>
    <row r="10" spans="1:5" x14ac:dyDescent="0.35">
      <c r="A10">
        <v>9</v>
      </c>
      <c r="B10">
        <v>9</v>
      </c>
      <c r="C10">
        <v>55000</v>
      </c>
      <c r="D10">
        <v>660000</v>
      </c>
      <c r="E10">
        <v>7000</v>
      </c>
    </row>
    <row r="11" spans="1:5" x14ac:dyDescent="0.35">
      <c r="A11">
        <v>10</v>
      </c>
      <c r="B11">
        <v>10</v>
      </c>
      <c r="C11">
        <v>48000</v>
      </c>
      <c r="D11">
        <v>576000</v>
      </c>
      <c r="E11">
        <v>5500</v>
      </c>
    </row>
    <row r="12" spans="1:5" x14ac:dyDescent="0.35">
      <c r="A12">
        <v>11</v>
      </c>
      <c r="B12">
        <v>11</v>
      </c>
      <c r="C12">
        <v>52000</v>
      </c>
      <c r="D12">
        <v>624000</v>
      </c>
      <c r="E12">
        <v>6000</v>
      </c>
    </row>
    <row r="13" spans="1:5" x14ac:dyDescent="0.35">
      <c r="A13">
        <v>12</v>
      </c>
      <c r="B13">
        <v>12</v>
      </c>
      <c r="C13">
        <v>90000</v>
      </c>
      <c r="D13">
        <v>1080000</v>
      </c>
      <c r="E13">
        <v>15000</v>
      </c>
    </row>
    <row r="14" spans="1:5" x14ac:dyDescent="0.35">
      <c r="A14">
        <v>13</v>
      </c>
      <c r="B14">
        <v>13</v>
      </c>
      <c r="C14">
        <v>60000</v>
      </c>
      <c r="D14">
        <v>720000</v>
      </c>
      <c r="E14">
        <v>8000</v>
      </c>
    </row>
    <row r="15" spans="1:5" x14ac:dyDescent="0.35">
      <c r="A15">
        <v>14</v>
      </c>
      <c r="B15">
        <v>14</v>
      </c>
      <c r="C15">
        <v>38000</v>
      </c>
      <c r="D15">
        <v>456000</v>
      </c>
      <c r="E15">
        <v>3000</v>
      </c>
    </row>
    <row r="16" spans="1:5" x14ac:dyDescent="0.35">
      <c r="A16">
        <v>15</v>
      </c>
      <c r="B16">
        <v>15</v>
      </c>
      <c r="C16">
        <v>55000</v>
      </c>
      <c r="D16">
        <v>660000</v>
      </c>
      <c r="E16">
        <v>6000</v>
      </c>
    </row>
    <row r="17" spans="1:5" x14ac:dyDescent="0.35">
      <c r="A17">
        <v>16</v>
      </c>
      <c r="B17">
        <v>16</v>
      </c>
      <c r="C17">
        <v>53000</v>
      </c>
      <c r="D17">
        <v>636000</v>
      </c>
      <c r="E17">
        <v>5500</v>
      </c>
    </row>
    <row r="18" spans="1:5" x14ac:dyDescent="0.35">
      <c r="A18">
        <v>17</v>
      </c>
      <c r="B18">
        <v>17</v>
      </c>
      <c r="C18">
        <v>47000</v>
      </c>
      <c r="D18">
        <v>564000</v>
      </c>
      <c r="E18">
        <v>4500</v>
      </c>
    </row>
    <row r="19" spans="1:5" x14ac:dyDescent="0.35">
      <c r="A19">
        <v>18</v>
      </c>
      <c r="B19">
        <v>18</v>
      </c>
      <c r="C19">
        <v>60000</v>
      </c>
      <c r="D19">
        <v>720000</v>
      </c>
      <c r="E19">
        <v>7500</v>
      </c>
    </row>
    <row r="20" spans="1:5" x14ac:dyDescent="0.35">
      <c r="A20">
        <v>19</v>
      </c>
      <c r="B20">
        <v>19</v>
      </c>
      <c r="C20">
        <v>95000</v>
      </c>
      <c r="D20">
        <v>1140000</v>
      </c>
      <c r="E20">
        <v>15000</v>
      </c>
    </row>
    <row r="21" spans="1:5" x14ac:dyDescent="0.35">
      <c r="A21">
        <v>20</v>
      </c>
      <c r="B21">
        <v>20</v>
      </c>
      <c r="C21">
        <v>115000</v>
      </c>
      <c r="D21">
        <v>1380000</v>
      </c>
      <c r="E21">
        <v>20000</v>
      </c>
    </row>
    <row r="22" spans="1:5" x14ac:dyDescent="0.35">
      <c r="A22">
        <v>21</v>
      </c>
      <c r="B22">
        <v>21</v>
      </c>
      <c r="C22">
        <v>95000</v>
      </c>
      <c r="D22">
        <v>1140000</v>
      </c>
      <c r="E22">
        <v>15000</v>
      </c>
    </row>
    <row r="23" spans="1:5" x14ac:dyDescent="0.35">
      <c r="A23">
        <v>22</v>
      </c>
      <c r="B23">
        <v>22</v>
      </c>
      <c r="C23">
        <v>105000</v>
      </c>
      <c r="D23">
        <v>1260000</v>
      </c>
      <c r="E23">
        <v>18000</v>
      </c>
    </row>
    <row r="24" spans="1:5" x14ac:dyDescent="0.35">
      <c r="A24">
        <v>23</v>
      </c>
      <c r="B24">
        <v>23</v>
      </c>
      <c r="C24">
        <v>85000</v>
      </c>
      <c r="D24">
        <v>1020000</v>
      </c>
      <c r="E24">
        <v>12000</v>
      </c>
    </row>
    <row r="25" spans="1:5" x14ac:dyDescent="0.35">
      <c r="A25">
        <v>24</v>
      </c>
      <c r="B25">
        <v>24</v>
      </c>
      <c r="C25">
        <v>95000</v>
      </c>
      <c r="D25">
        <v>1140000</v>
      </c>
      <c r="E25">
        <v>13000</v>
      </c>
    </row>
    <row r="26" spans="1:5" x14ac:dyDescent="0.35">
      <c r="A26">
        <v>25</v>
      </c>
      <c r="B26">
        <v>25</v>
      </c>
      <c r="C26">
        <v>72000</v>
      </c>
      <c r="D26">
        <v>864000</v>
      </c>
      <c r="E26">
        <v>8500</v>
      </c>
    </row>
    <row r="27" spans="1:5" x14ac:dyDescent="0.35">
      <c r="A27">
        <v>26</v>
      </c>
      <c r="B27">
        <v>26</v>
      </c>
      <c r="C27">
        <v>105000</v>
      </c>
      <c r="D27">
        <v>1260000</v>
      </c>
      <c r="E27">
        <v>15000</v>
      </c>
    </row>
    <row r="28" spans="1:5" x14ac:dyDescent="0.35">
      <c r="A28">
        <v>27</v>
      </c>
      <c r="B28">
        <v>27</v>
      </c>
      <c r="C28">
        <v>98000</v>
      </c>
      <c r="D28">
        <v>1176000</v>
      </c>
      <c r="E28">
        <v>13000</v>
      </c>
    </row>
    <row r="29" spans="1:5" x14ac:dyDescent="0.35">
      <c r="A29">
        <v>28</v>
      </c>
      <c r="B29">
        <v>28</v>
      </c>
      <c r="C29">
        <v>120000</v>
      </c>
      <c r="D29">
        <v>1440000</v>
      </c>
      <c r="E29">
        <v>20000</v>
      </c>
    </row>
    <row r="30" spans="1:5" x14ac:dyDescent="0.35">
      <c r="A30">
        <v>29</v>
      </c>
      <c r="B30">
        <v>29</v>
      </c>
      <c r="C30">
        <v>130000</v>
      </c>
      <c r="D30">
        <v>1560000</v>
      </c>
      <c r="E30">
        <v>22000</v>
      </c>
    </row>
    <row r="31" spans="1:5" x14ac:dyDescent="0.35">
      <c r="A31">
        <v>30</v>
      </c>
      <c r="B31">
        <v>30</v>
      </c>
      <c r="C31">
        <v>105000</v>
      </c>
      <c r="D31">
        <v>1260000</v>
      </c>
      <c r="E31">
        <v>15000</v>
      </c>
    </row>
    <row r="32" spans="1:5" x14ac:dyDescent="0.35">
      <c r="A32">
        <v>31</v>
      </c>
      <c r="B32">
        <v>31</v>
      </c>
      <c r="C32">
        <v>115000</v>
      </c>
      <c r="D32">
        <v>1380000</v>
      </c>
      <c r="E32">
        <v>18000</v>
      </c>
    </row>
    <row r="33" spans="1:5" x14ac:dyDescent="0.35">
      <c r="A33">
        <v>32</v>
      </c>
      <c r="B33">
        <v>32</v>
      </c>
      <c r="C33">
        <v>95000</v>
      </c>
      <c r="D33">
        <v>1140000</v>
      </c>
      <c r="E33">
        <v>14000</v>
      </c>
    </row>
    <row r="34" spans="1:5" x14ac:dyDescent="0.35">
      <c r="A34">
        <v>33</v>
      </c>
      <c r="B34">
        <v>33</v>
      </c>
      <c r="C34">
        <v>120000</v>
      </c>
      <c r="D34">
        <v>1440000</v>
      </c>
      <c r="E34">
        <v>20000</v>
      </c>
    </row>
    <row r="35" spans="1:5" x14ac:dyDescent="0.35">
      <c r="A35">
        <v>34</v>
      </c>
      <c r="B35">
        <v>34</v>
      </c>
      <c r="C35">
        <v>135000</v>
      </c>
      <c r="D35">
        <v>1620000</v>
      </c>
      <c r="E35">
        <v>25000</v>
      </c>
    </row>
    <row r="36" spans="1:5" x14ac:dyDescent="0.35">
      <c r="A36">
        <v>35</v>
      </c>
      <c r="B36">
        <v>35</v>
      </c>
      <c r="C36">
        <v>150000</v>
      </c>
      <c r="D36">
        <v>1800000</v>
      </c>
      <c r="E36">
        <v>30000</v>
      </c>
    </row>
    <row r="37" spans="1:5" x14ac:dyDescent="0.35">
      <c r="A37">
        <v>36</v>
      </c>
      <c r="B37">
        <v>36</v>
      </c>
      <c r="C37">
        <v>150000</v>
      </c>
      <c r="D37">
        <v>1800000</v>
      </c>
      <c r="E37">
        <v>28000</v>
      </c>
    </row>
    <row r="38" spans="1:5" x14ac:dyDescent="0.35">
      <c r="A38">
        <v>37</v>
      </c>
      <c r="B38">
        <v>37</v>
      </c>
      <c r="C38">
        <v>170000</v>
      </c>
      <c r="D38">
        <v>2040000</v>
      </c>
      <c r="E38">
        <v>35000</v>
      </c>
    </row>
    <row r="39" spans="1:5" x14ac:dyDescent="0.35">
      <c r="A39">
        <v>38</v>
      </c>
      <c r="B39">
        <v>38</v>
      </c>
      <c r="C39">
        <v>160000</v>
      </c>
      <c r="D39">
        <v>1920000</v>
      </c>
      <c r="E39">
        <v>33000</v>
      </c>
    </row>
    <row r="40" spans="1:5" x14ac:dyDescent="0.35">
      <c r="A40">
        <v>39</v>
      </c>
      <c r="B40">
        <v>39</v>
      </c>
      <c r="C40">
        <v>140000</v>
      </c>
      <c r="D40">
        <v>1680000</v>
      </c>
      <c r="E40">
        <v>28000</v>
      </c>
    </row>
    <row r="41" spans="1:5" x14ac:dyDescent="0.35">
      <c r="A41">
        <v>40</v>
      </c>
      <c r="B41">
        <v>40</v>
      </c>
      <c r="C41">
        <v>50000</v>
      </c>
      <c r="D41">
        <v>600000</v>
      </c>
      <c r="E41">
        <v>6000</v>
      </c>
    </row>
    <row r="42" spans="1:5" x14ac:dyDescent="0.35">
      <c r="A42">
        <v>41</v>
      </c>
      <c r="B42">
        <v>41</v>
      </c>
      <c r="C42">
        <v>48000</v>
      </c>
      <c r="D42">
        <v>576000</v>
      </c>
      <c r="E42">
        <v>5000</v>
      </c>
    </row>
    <row r="43" spans="1:5" x14ac:dyDescent="0.35">
      <c r="A43">
        <v>42</v>
      </c>
      <c r="B43">
        <v>42</v>
      </c>
      <c r="C43">
        <v>45000</v>
      </c>
      <c r="D43">
        <v>540000</v>
      </c>
      <c r="E43">
        <v>4500</v>
      </c>
    </row>
    <row r="44" spans="1:5" x14ac:dyDescent="0.35">
      <c r="A44">
        <v>43</v>
      </c>
      <c r="B44">
        <v>43</v>
      </c>
      <c r="C44">
        <v>32000</v>
      </c>
      <c r="D44">
        <v>384000</v>
      </c>
      <c r="E44">
        <v>3000</v>
      </c>
    </row>
    <row r="45" spans="1:5" x14ac:dyDescent="0.35">
      <c r="A45">
        <v>44</v>
      </c>
      <c r="B45">
        <v>44</v>
      </c>
      <c r="C45">
        <v>38000</v>
      </c>
      <c r="D45">
        <v>456000</v>
      </c>
      <c r="E45">
        <v>4000</v>
      </c>
    </row>
    <row r="46" spans="1:5" x14ac:dyDescent="0.35">
      <c r="A46">
        <v>45</v>
      </c>
      <c r="B46">
        <v>45</v>
      </c>
      <c r="C46">
        <v>42000</v>
      </c>
      <c r="D46">
        <v>504000</v>
      </c>
      <c r="E46">
        <v>3500</v>
      </c>
    </row>
    <row r="47" spans="1:5" x14ac:dyDescent="0.35">
      <c r="A47">
        <v>46</v>
      </c>
      <c r="B47">
        <v>46</v>
      </c>
      <c r="C47">
        <v>33000</v>
      </c>
      <c r="D47">
        <v>396000</v>
      </c>
      <c r="E47">
        <v>3000</v>
      </c>
    </row>
    <row r="48" spans="1:5" x14ac:dyDescent="0.35">
      <c r="A48">
        <v>47</v>
      </c>
      <c r="B48">
        <v>47</v>
      </c>
      <c r="C48">
        <v>35000</v>
      </c>
      <c r="D48">
        <v>420000</v>
      </c>
      <c r="E48">
        <v>3500</v>
      </c>
    </row>
    <row r="49" spans="1:5" x14ac:dyDescent="0.35">
      <c r="A49">
        <v>48</v>
      </c>
      <c r="B49">
        <v>48</v>
      </c>
      <c r="C49">
        <v>34000</v>
      </c>
      <c r="D49">
        <v>408000</v>
      </c>
      <c r="E49">
        <v>3200</v>
      </c>
    </row>
    <row r="50" spans="1:5" x14ac:dyDescent="0.35">
      <c r="A50">
        <v>49</v>
      </c>
      <c r="B50">
        <v>49</v>
      </c>
      <c r="C50">
        <v>31000</v>
      </c>
      <c r="D50">
        <v>372000</v>
      </c>
      <c r="E50">
        <v>3000</v>
      </c>
    </row>
    <row r="51" spans="1:5" x14ac:dyDescent="0.35">
      <c r="A51">
        <v>50</v>
      </c>
      <c r="B51">
        <v>50</v>
      </c>
      <c r="C51">
        <v>40000</v>
      </c>
      <c r="D51">
        <v>480000</v>
      </c>
      <c r="E51">
        <v>4500</v>
      </c>
    </row>
    <row r="52" spans="1:5" x14ac:dyDescent="0.35">
      <c r="A52">
        <v>51</v>
      </c>
      <c r="B52">
        <v>51</v>
      </c>
      <c r="C52">
        <v>42000</v>
      </c>
      <c r="D52">
        <v>504000</v>
      </c>
      <c r="E52">
        <v>4000</v>
      </c>
    </row>
    <row r="53" spans="1:5" x14ac:dyDescent="0.35">
      <c r="A53">
        <v>52</v>
      </c>
      <c r="B53">
        <v>52</v>
      </c>
      <c r="C53">
        <v>35000</v>
      </c>
      <c r="D53">
        <v>420000</v>
      </c>
      <c r="E53">
        <v>3500</v>
      </c>
    </row>
    <row r="54" spans="1:5" x14ac:dyDescent="0.35">
      <c r="A54">
        <v>53</v>
      </c>
      <c r="B54">
        <v>53</v>
      </c>
      <c r="C54">
        <v>46000</v>
      </c>
      <c r="D54">
        <v>552000</v>
      </c>
      <c r="E54">
        <v>5500</v>
      </c>
    </row>
    <row r="55" spans="1:5" x14ac:dyDescent="0.35">
      <c r="A55">
        <v>54</v>
      </c>
      <c r="B55">
        <v>54</v>
      </c>
      <c r="C55">
        <v>38000</v>
      </c>
      <c r="D55">
        <v>456000</v>
      </c>
      <c r="E55">
        <v>4000</v>
      </c>
    </row>
    <row r="56" spans="1:5" x14ac:dyDescent="0.35">
      <c r="A56">
        <v>55</v>
      </c>
      <c r="B56">
        <v>55</v>
      </c>
      <c r="C56">
        <v>44000</v>
      </c>
      <c r="D56">
        <v>528000</v>
      </c>
      <c r="E56">
        <v>4500</v>
      </c>
    </row>
    <row r="57" spans="1:5" x14ac:dyDescent="0.35">
      <c r="A57">
        <v>56</v>
      </c>
      <c r="B57">
        <v>56</v>
      </c>
      <c r="C57">
        <v>47000</v>
      </c>
      <c r="D57">
        <v>564000</v>
      </c>
      <c r="E57">
        <v>5000</v>
      </c>
    </row>
    <row r="58" spans="1:5" x14ac:dyDescent="0.35">
      <c r="A58">
        <v>57</v>
      </c>
      <c r="B58">
        <v>57</v>
      </c>
      <c r="C58">
        <v>43000</v>
      </c>
      <c r="D58">
        <v>516000</v>
      </c>
      <c r="E58">
        <v>4000</v>
      </c>
    </row>
    <row r="59" spans="1:5" x14ac:dyDescent="0.35">
      <c r="A59">
        <v>58</v>
      </c>
      <c r="B59">
        <v>58</v>
      </c>
      <c r="C59">
        <v>48000</v>
      </c>
      <c r="D59">
        <v>576000</v>
      </c>
      <c r="E59">
        <v>5000</v>
      </c>
    </row>
    <row r="60" spans="1:5" x14ac:dyDescent="0.35">
      <c r="A60">
        <v>59</v>
      </c>
      <c r="B60">
        <v>59</v>
      </c>
      <c r="C60">
        <v>45000</v>
      </c>
      <c r="D60">
        <v>540000</v>
      </c>
      <c r="E60">
        <v>4500</v>
      </c>
    </row>
    <row r="61" spans="1:5" x14ac:dyDescent="0.35">
      <c r="A61">
        <v>60</v>
      </c>
      <c r="B61">
        <v>60</v>
      </c>
      <c r="C61">
        <v>70000</v>
      </c>
      <c r="D61">
        <v>840000</v>
      </c>
      <c r="E61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D260-5428-4EAB-BF40-1CCC39725B5D}">
  <dimension ref="A1:H61"/>
  <sheetViews>
    <sheetView topLeftCell="E1" workbookViewId="0">
      <selection activeCell="B1" sqref="B1"/>
    </sheetView>
  </sheetViews>
  <sheetFormatPr defaultRowHeight="14.5" x14ac:dyDescent="0.35"/>
  <cols>
    <col min="1" max="1" width="8.81640625" bestFit="1" customWidth="1"/>
    <col min="2" max="2" width="6.90625" bestFit="1" customWidth="1"/>
    <col min="3" max="3" width="6" bestFit="1" customWidth="1"/>
    <col min="4" max="4" width="8.26953125" bestFit="1" customWidth="1"/>
    <col min="5" max="5" width="8.08984375" bestFit="1" customWidth="1"/>
    <col min="6" max="6" width="5.81640625" bestFit="1" customWidth="1"/>
    <col min="7" max="7" width="10.26953125" bestFit="1" customWidth="1"/>
    <col min="8" max="8" width="11.90625" bestFit="1" customWidth="1"/>
  </cols>
  <sheetData>
    <row r="1" spans="1:8" x14ac:dyDescent="0.35">
      <c r="A1" t="s">
        <v>415</v>
      </c>
      <c r="B1" t="s">
        <v>0</v>
      </c>
      <c r="C1" t="s">
        <v>8</v>
      </c>
      <c r="D1" t="s">
        <v>411</v>
      </c>
      <c r="E1" t="s">
        <v>416</v>
      </c>
      <c r="F1" t="s">
        <v>417</v>
      </c>
      <c r="G1" t="s">
        <v>418</v>
      </c>
      <c r="H1" t="s">
        <v>419</v>
      </c>
    </row>
    <row r="2" spans="1:8" x14ac:dyDescent="0.35">
      <c r="A2">
        <v>1</v>
      </c>
      <c r="B2">
        <v>1</v>
      </c>
      <c r="C2">
        <v>1</v>
      </c>
      <c r="D2">
        <v>1</v>
      </c>
      <c r="E2">
        <v>1</v>
      </c>
      <c r="F2">
        <v>45412</v>
      </c>
      <c r="G2" t="s">
        <v>420</v>
      </c>
      <c r="H2">
        <v>40500</v>
      </c>
    </row>
    <row r="3" spans="1:8" x14ac:dyDescent="0.35">
      <c r="A3">
        <v>2</v>
      </c>
      <c r="B3">
        <v>2</v>
      </c>
      <c r="C3">
        <v>2</v>
      </c>
      <c r="D3">
        <v>2</v>
      </c>
      <c r="E3">
        <v>2</v>
      </c>
      <c r="F3">
        <v>45412</v>
      </c>
      <c r="G3" t="s">
        <v>420</v>
      </c>
      <c r="H3">
        <v>45500</v>
      </c>
    </row>
    <row r="4" spans="1:8" x14ac:dyDescent="0.35">
      <c r="A4">
        <v>3</v>
      </c>
      <c r="B4">
        <v>3</v>
      </c>
      <c r="C4">
        <v>3</v>
      </c>
      <c r="D4">
        <v>3</v>
      </c>
      <c r="E4">
        <v>3</v>
      </c>
      <c r="F4">
        <v>45412</v>
      </c>
      <c r="G4" t="s">
        <v>420</v>
      </c>
      <c r="H4">
        <v>39500</v>
      </c>
    </row>
    <row r="5" spans="1:8" x14ac:dyDescent="0.35">
      <c r="A5">
        <v>4</v>
      </c>
      <c r="B5">
        <v>4</v>
      </c>
      <c r="C5">
        <v>4</v>
      </c>
      <c r="D5">
        <v>4</v>
      </c>
      <c r="E5">
        <v>4</v>
      </c>
      <c r="F5">
        <v>45412</v>
      </c>
      <c r="G5" t="s">
        <v>420</v>
      </c>
      <c r="H5">
        <v>43500</v>
      </c>
    </row>
    <row r="6" spans="1:8" x14ac:dyDescent="0.35">
      <c r="A6">
        <v>5</v>
      </c>
      <c r="B6">
        <v>5</v>
      </c>
      <c r="C6">
        <v>5</v>
      </c>
      <c r="D6">
        <v>5</v>
      </c>
      <c r="E6">
        <v>5</v>
      </c>
      <c r="F6">
        <v>45412</v>
      </c>
      <c r="G6" t="s">
        <v>420</v>
      </c>
      <c r="H6">
        <v>38500</v>
      </c>
    </row>
    <row r="7" spans="1:8" x14ac:dyDescent="0.35">
      <c r="A7">
        <v>6</v>
      </c>
      <c r="B7">
        <v>6</v>
      </c>
      <c r="C7">
        <v>6</v>
      </c>
      <c r="D7">
        <v>6</v>
      </c>
      <c r="E7">
        <v>6</v>
      </c>
      <c r="F7">
        <v>45412</v>
      </c>
      <c r="G7" t="s">
        <v>420</v>
      </c>
      <c r="H7">
        <v>42500</v>
      </c>
    </row>
    <row r="8" spans="1:8" x14ac:dyDescent="0.35">
      <c r="A8">
        <v>7</v>
      </c>
      <c r="B8">
        <v>7</v>
      </c>
      <c r="C8">
        <v>7</v>
      </c>
      <c r="D8">
        <v>7</v>
      </c>
      <c r="E8">
        <v>7</v>
      </c>
      <c r="F8">
        <v>45412</v>
      </c>
      <c r="G8" t="s">
        <v>420</v>
      </c>
      <c r="H8">
        <v>44500</v>
      </c>
    </row>
    <row r="9" spans="1:8" x14ac:dyDescent="0.35">
      <c r="A9">
        <v>8</v>
      </c>
      <c r="B9">
        <v>8</v>
      </c>
      <c r="C9">
        <v>8</v>
      </c>
      <c r="D9">
        <v>8</v>
      </c>
      <c r="E9">
        <v>8</v>
      </c>
      <c r="F9">
        <v>45412</v>
      </c>
      <c r="G9" t="s">
        <v>420</v>
      </c>
      <c r="H9">
        <v>45500</v>
      </c>
    </row>
    <row r="10" spans="1:8" x14ac:dyDescent="0.35">
      <c r="A10">
        <v>9</v>
      </c>
      <c r="B10">
        <v>9</v>
      </c>
      <c r="C10">
        <v>9</v>
      </c>
      <c r="D10">
        <v>9</v>
      </c>
      <c r="E10">
        <v>9</v>
      </c>
      <c r="F10">
        <v>45412</v>
      </c>
      <c r="G10" t="s">
        <v>420</v>
      </c>
      <c r="H10">
        <v>40500</v>
      </c>
    </row>
    <row r="11" spans="1:8" x14ac:dyDescent="0.35">
      <c r="A11">
        <v>10</v>
      </c>
      <c r="B11">
        <v>10</v>
      </c>
      <c r="C11">
        <v>10</v>
      </c>
      <c r="D11">
        <v>10</v>
      </c>
      <c r="E11">
        <v>10</v>
      </c>
      <c r="F11">
        <v>45412</v>
      </c>
      <c r="G11" t="s">
        <v>420</v>
      </c>
      <c r="H11">
        <v>38500</v>
      </c>
    </row>
    <row r="12" spans="1:8" x14ac:dyDescent="0.35">
      <c r="A12">
        <v>11</v>
      </c>
      <c r="B12">
        <v>11</v>
      </c>
      <c r="C12">
        <v>11</v>
      </c>
      <c r="D12">
        <v>11</v>
      </c>
      <c r="E12">
        <v>11</v>
      </c>
      <c r="F12">
        <v>45412</v>
      </c>
      <c r="G12" t="s">
        <v>420</v>
      </c>
      <c r="H12">
        <v>49500</v>
      </c>
    </row>
    <row r="13" spans="1:8" x14ac:dyDescent="0.35">
      <c r="A13">
        <v>12</v>
      </c>
      <c r="B13">
        <v>12</v>
      </c>
      <c r="C13">
        <v>12</v>
      </c>
      <c r="D13">
        <v>12</v>
      </c>
      <c r="E13">
        <v>12</v>
      </c>
      <c r="F13">
        <v>45412</v>
      </c>
      <c r="G13" t="s">
        <v>420</v>
      </c>
      <c r="H13">
        <v>51500</v>
      </c>
    </row>
    <row r="14" spans="1:8" x14ac:dyDescent="0.35">
      <c r="A14">
        <v>13</v>
      </c>
      <c r="B14">
        <v>13</v>
      </c>
      <c r="C14">
        <v>13</v>
      </c>
      <c r="D14">
        <v>13</v>
      </c>
      <c r="E14">
        <v>13</v>
      </c>
      <c r="F14">
        <v>45412</v>
      </c>
      <c r="G14" t="s">
        <v>420</v>
      </c>
      <c r="H14">
        <v>50500</v>
      </c>
    </row>
    <row r="15" spans="1:8" x14ac:dyDescent="0.35">
      <c r="A15">
        <v>14</v>
      </c>
      <c r="B15">
        <v>14</v>
      </c>
      <c r="C15">
        <v>14</v>
      </c>
      <c r="D15">
        <v>14</v>
      </c>
      <c r="E15">
        <v>14</v>
      </c>
      <c r="F15">
        <v>45412</v>
      </c>
      <c r="G15" t="s">
        <v>420</v>
      </c>
      <c r="H15">
        <v>48500</v>
      </c>
    </row>
    <row r="16" spans="1:8" x14ac:dyDescent="0.35">
      <c r="A16">
        <v>15</v>
      </c>
      <c r="B16">
        <v>15</v>
      </c>
      <c r="C16">
        <v>15</v>
      </c>
      <c r="D16">
        <v>15</v>
      </c>
      <c r="E16">
        <v>15</v>
      </c>
      <c r="F16">
        <v>45412</v>
      </c>
      <c r="G16" t="s">
        <v>420</v>
      </c>
      <c r="H16">
        <v>47500</v>
      </c>
    </row>
    <row r="17" spans="1:8" x14ac:dyDescent="0.35">
      <c r="A17">
        <v>16</v>
      </c>
      <c r="B17">
        <v>16</v>
      </c>
      <c r="C17">
        <v>16</v>
      </c>
      <c r="D17">
        <v>16</v>
      </c>
      <c r="E17">
        <v>16</v>
      </c>
      <c r="F17">
        <v>45412</v>
      </c>
      <c r="G17" t="s">
        <v>420</v>
      </c>
      <c r="H17">
        <v>50500</v>
      </c>
    </row>
    <row r="18" spans="1:8" x14ac:dyDescent="0.35">
      <c r="A18">
        <v>17</v>
      </c>
      <c r="B18">
        <v>17</v>
      </c>
      <c r="C18">
        <v>17</v>
      </c>
      <c r="D18">
        <v>17</v>
      </c>
      <c r="E18">
        <v>17</v>
      </c>
      <c r="F18">
        <v>45412</v>
      </c>
      <c r="G18" t="s">
        <v>420</v>
      </c>
      <c r="H18">
        <v>49500</v>
      </c>
    </row>
    <row r="19" spans="1:8" x14ac:dyDescent="0.35">
      <c r="A19">
        <v>18</v>
      </c>
      <c r="B19">
        <v>18</v>
      </c>
      <c r="C19">
        <v>18</v>
      </c>
      <c r="D19">
        <v>18</v>
      </c>
      <c r="E19">
        <v>18</v>
      </c>
      <c r="F19">
        <v>45412</v>
      </c>
      <c r="G19" t="s">
        <v>420</v>
      </c>
      <c r="H19">
        <v>51500</v>
      </c>
    </row>
    <row r="20" spans="1:8" x14ac:dyDescent="0.35">
      <c r="A20">
        <v>19</v>
      </c>
      <c r="B20">
        <v>19</v>
      </c>
      <c r="C20">
        <v>19</v>
      </c>
      <c r="D20">
        <v>19</v>
      </c>
      <c r="E20">
        <v>19</v>
      </c>
      <c r="F20">
        <v>45412</v>
      </c>
      <c r="G20" t="s">
        <v>420</v>
      </c>
      <c r="H20">
        <v>49500</v>
      </c>
    </row>
    <row r="21" spans="1:8" x14ac:dyDescent="0.35">
      <c r="A21">
        <v>20</v>
      </c>
      <c r="B21">
        <v>20</v>
      </c>
      <c r="C21">
        <v>20</v>
      </c>
      <c r="D21">
        <v>20</v>
      </c>
      <c r="E21">
        <v>20</v>
      </c>
      <c r="F21">
        <v>45412</v>
      </c>
      <c r="G21" t="s">
        <v>420</v>
      </c>
      <c r="H21">
        <v>48500</v>
      </c>
    </row>
    <row r="22" spans="1:8" x14ac:dyDescent="0.35">
      <c r="A22">
        <v>21</v>
      </c>
      <c r="B22">
        <v>21</v>
      </c>
      <c r="C22">
        <v>21</v>
      </c>
      <c r="D22">
        <v>21</v>
      </c>
      <c r="E22">
        <v>21</v>
      </c>
      <c r="F22">
        <v>45412</v>
      </c>
      <c r="G22" t="s">
        <v>420</v>
      </c>
      <c r="H22">
        <v>46500</v>
      </c>
    </row>
    <row r="23" spans="1:8" x14ac:dyDescent="0.35">
      <c r="A23">
        <v>22</v>
      </c>
      <c r="B23">
        <v>22</v>
      </c>
      <c r="C23">
        <v>22</v>
      </c>
      <c r="D23">
        <v>22</v>
      </c>
      <c r="E23">
        <v>22</v>
      </c>
      <c r="F23">
        <v>45412</v>
      </c>
      <c r="G23" t="s">
        <v>420</v>
      </c>
      <c r="H23">
        <v>47500</v>
      </c>
    </row>
    <row r="24" spans="1:8" x14ac:dyDescent="0.35">
      <c r="A24">
        <v>23</v>
      </c>
      <c r="B24">
        <v>23</v>
      </c>
      <c r="C24">
        <v>23</v>
      </c>
      <c r="D24">
        <v>23</v>
      </c>
      <c r="E24">
        <v>23</v>
      </c>
      <c r="F24">
        <v>45412</v>
      </c>
      <c r="G24" t="s">
        <v>420</v>
      </c>
      <c r="H24">
        <v>45500</v>
      </c>
    </row>
    <row r="25" spans="1:8" x14ac:dyDescent="0.35">
      <c r="A25">
        <v>24</v>
      </c>
      <c r="B25">
        <v>24</v>
      </c>
      <c r="C25">
        <v>24</v>
      </c>
      <c r="D25">
        <v>24</v>
      </c>
      <c r="E25">
        <v>24</v>
      </c>
      <c r="F25">
        <v>45412</v>
      </c>
      <c r="G25" t="s">
        <v>420</v>
      </c>
      <c r="H25">
        <v>47500</v>
      </c>
    </row>
    <row r="26" spans="1:8" x14ac:dyDescent="0.35">
      <c r="A26">
        <v>25</v>
      </c>
      <c r="B26">
        <v>25</v>
      </c>
      <c r="C26">
        <v>25</v>
      </c>
      <c r="D26">
        <v>25</v>
      </c>
      <c r="E26">
        <v>25</v>
      </c>
      <c r="F26">
        <v>45412</v>
      </c>
      <c r="G26" t="s">
        <v>420</v>
      </c>
      <c r="H26">
        <v>45500</v>
      </c>
    </row>
    <row r="27" spans="1:8" x14ac:dyDescent="0.35">
      <c r="A27">
        <v>26</v>
      </c>
      <c r="B27">
        <v>26</v>
      </c>
      <c r="C27">
        <v>26</v>
      </c>
      <c r="D27">
        <v>26</v>
      </c>
      <c r="E27">
        <v>26</v>
      </c>
      <c r="F27">
        <v>45412</v>
      </c>
      <c r="G27" t="s">
        <v>420</v>
      </c>
      <c r="H27">
        <v>46500</v>
      </c>
    </row>
    <row r="28" spans="1:8" x14ac:dyDescent="0.35">
      <c r="A28">
        <v>27</v>
      </c>
      <c r="B28">
        <v>27</v>
      </c>
      <c r="C28">
        <v>27</v>
      </c>
      <c r="D28">
        <v>27</v>
      </c>
      <c r="E28">
        <v>27</v>
      </c>
      <c r="F28">
        <v>45412</v>
      </c>
      <c r="G28" t="s">
        <v>420</v>
      </c>
      <c r="H28">
        <v>44500</v>
      </c>
    </row>
    <row r="29" spans="1:8" x14ac:dyDescent="0.35">
      <c r="A29">
        <v>28</v>
      </c>
      <c r="B29">
        <v>28</v>
      </c>
      <c r="C29">
        <v>28</v>
      </c>
      <c r="D29">
        <v>28</v>
      </c>
      <c r="E29">
        <v>28</v>
      </c>
      <c r="F29">
        <v>45412</v>
      </c>
      <c r="G29" t="s">
        <v>420</v>
      </c>
      <c r="H29">
        <v>49500</v>
      </c>
    </row>
    <row r="30" spans="1:8" x14ac:dyDescent="0.35">
      <c r="A30">
        <v>29</v>
      </c>
      <c r="B30">
        <v>29</v>
      </c>
      <c r="C30">
        <v>29</v>
      </c>
      <c r="D30">
        <v>29</v>
      </c>
      <c r="E30">
        <v>29</v>
      </c>
      <c r="F30">
        <v>45412</v>
      </c>
      <c r="G30" t="s">
        <v>420</v>
      </c>
      <c r="H30">
        <v>45500</v>
      </c>
    </row>
    <row r="31" spans="1:8" x14ac:dyDescent="0.35">
      <c r="A31">
        <v>30</v>
      </c>
      <c r="B31">
        <v>30</v>
      </c>
      <c r="C31">
        <v>30</v>
      </c>
      <c r="D31">
        <v>30</v>
      </c>
      <c r="E31">
        <v>30</v>
      </c>
      <c r="F31">
        <v>45412</v>
      </c>
      <c r="G31" t="s">
        <v>420</v>
      </c>
      <c r="H31">
        <v>50500</v>
      </c>
    </row>
    <row r="32" spans="1:8" x14ac:dyDescent="0.35">
      <c r="A32">
        <v>31</v>
      </c>
      <c r="B32">
        <v>31</v>
      </c>
      <c r="C32">
        <v>31</v>
      </c>
      <c r="D32">
        <v>31</v>
      </c>
      <c r="E32">
        <v>31</v>
      </c>
      <c r="F32">
        <v>45412</v>
      </c>
      <c r="G32" t="s">
        <v>420</v>
      </c>
      <c r="H32">
        <v>41500</v>
      </c>
    </row>
    <row r="33" spans="1:8" x14ac:dyDescent="0.35">
      <c r="A33">
        <v>32</v>
      </c>
      <c r="B33">
        <v>32</v>
      </c>
      <c r="C33">
        <v>32</v>
      </c>
      <c r="D33">
        <v>32</v>
      </c>
      <c r="E33">
        <v>32</v>
      </c>
      <c r="F33">
        <v>45412</v>
      </c>
      <c r="G33" t="s">
        <v>420</v>
      </c>
      <c r="H33">
        <v>48500</v>
      </c>
    </row>
    <row r="34" spans="1:8" x14ac:dyDescent="0.35">
      <c r="A34">
        <v>33</v>
      </c>
      <c r="B34">
        <v>33</v>
      </c>
      <c r="C34">
        <v>33</v>
      </c>
      <c r="D34">
        <v>33</v>
      </c>
      <c r="E34">
        <v>33</v>
      </c>
      <c r="F34">
        <v>45412</v>
      </c>
      <c r="G34" t="s">
        <v>420</v>
      </c>
      <c r="H34">
        <v>49500</v>
      </c>
    </row>
    <row r="35" spans="1:8" x14ac:dyDescent="0.35">
      <c r="A35">
        <v>34</v>
      </c>
      <c r="B35">
        <v>34</v>
      </c>
      <c r="C35">
        <v>34</v>
      </c>
      <c r="D35">
        <v>34</v>
      </c>
      <c r="E35">
        <v>34</v>
      </c>
      <c r="F35">
        <v>45412</v>
      </c>
      <c r="G35" t="s">
        <v>420</v>
      </c>
      <c r="H35">
        <v>46500</v>
      </c>
    </row>
    <row r="36" spans="1:8" x14ac:dyDescent="0.35">
      <c r="A36">
        <v>35</v>
      </c>
      <c r="B36">
        <v>35</v>
      </c>
      <c r="C36">
        <v>35</v>
      </c>
      <c r="D36">
        <v>35</v>
      </c>
      <c r="E36">
        <v>35</v>
      </c>
      <c r="F36">
        <v>45412</v>
      </c>
      <c r="G36" t="s">
        <v>420</v>
      </c>
      <c r="H36">
        <v>45500</v>
      </c>
    </row>
    <row r="37" spans="1:8" x14ac:dyDescent="0.35">
      <c r="A37">
        <v>36</v>
      </c>
      <c r="B37">
        <v>36</v>
      </c>
      <c r="C37">
        <v>36</v>
      </c>
      <c r="D37">
        <v>36</v>
      </c>
      <c r="E37">
        <v>36</v>
      </c>
      <c r="F37">
        <v>45412</v>
      </c>
      <c r="G37" t="s">
        <v>420</v>
      </c>
      <c r="H37">
        <v>43500</v>
      </c>
    </row>
    <row r="38" spans="1:8" x14ac:dyDescent="0.35">
      <c r="A38">
        <v>37</v>
      </c>
      <c r="B38">
        <v>37</v>
      </c>
      <c r="C38">
        <v>37</v>
      </c>
      <c r="D38">
        <v>37</v>
      </c>
      <c r="E38">
        <v>37</v>
      </c>
      <c r="F38">
        <v>45412</v>
      </c>
      <c r="G38" t="s">
        <v>420</v>
      </c>
      <c r="H38">
        <v>44500</v>
      </c>
    </row>
    <row r="39" spans="1:8" x14ac:dyDescent="0.35">
      <c r="A39">
        <v>38</v>
      </c>
      <c r="B39">
        <v>38</v>
      </c>
      <c r="C39">
        <v>38</v>
      </c>
      <c r="D39">
        <v>38</v>
      </c>
      <c r="E39">
        <v>38</v>
      </c>
      <c r="F39">
        <v>45412</v>
      </c>
      <c r="G39" t="s">
        <v>420</v>
      </c>
      <c r="H39">
        <v>47500</v>
      </c>
    </row>
    <row r="40" spans="1:8" x14ac:dyDescent="0.35">
      <c r="A40">
        <v>39</v>
      </c>
      <c r="B40">
        <v>39</v>
      </c>
      <c r="C40">
        <v>39</v>
      </c>
      <c r="D40">
        <v>39</v>
      </c>
      <c r="E40">
        <v>39</v>
      </c>
      <c r="F40">
        <v>45412</v>
      </c>
      <c r="G40" t="s">
        <v>420</v>
      </c>
      <c r="H40">
        <v>45500</v>
      </c>
    </row>
    <row r="41" spans="1:8" x14ac:dyDescent="0.35">
      <c r="A41">
        <v>40</v>
      </c>
      <c r="B41">
        <v>40</v>
      </c>
      <c r="C41">
        <v>40</v>
      </c>
      <c r="D41">
        <v>40</v>
      </c>
      <c r="E41">
        <v>40</v>
      </c>
      <c r="F41">
        <v>45412</v>
      </c>
      <c r="G41" t="s">
        <v>420</v>
      </c>
      <c r="H41">
        <v>46500</v>
      </c>
    </row>
    <row r="42" spans="1:8" x14ac:dyDescent="0.35">
      <c r="A42">
        <v>41</v>
      </c>
      <c r="B42">
        <v>41</v>
      </c>
      <c r="C42">
        <v>41</v>
      </c>
      <c r="D42">
        <v>41</v>
      </c>
      <c r="E42">
        <v>41</v>
      </c>
      <c r="F42">
        <v>45412</v>
      </c>
      <c r="G42" t="s">
        <v>420</v>
      </c>
      <c r="H42">
        <v>48500</v>
      </c>
    </row>
    <row r="43" spans="1:8" x14ac:dyDescent="0.35">
      <c r="A43">
        <v>42</v>
      </c>
      <c r="B43">
        <v>42</v>
      </c>
      <c r="C43">
        <v>42</v>
      </c>
      <c r="D43">
        <v>42</v>
      </c>
      <c r="E43">
        <v>42</v>
      </c>
      <c r="F43">
        <v>45412</v>
      </c>
      <c r="G43" t="s">
        <v>420</v>
      </c>
      <c r="H43">
        <v>43500</v>
      </c>
    </row>
    <row r="44" spans="1:8" x14ac:dyDescent="0.35">
      <c r="A44">
        <v>43</v>
      </c>
      <c r="B44">
        <v>43</v>
      </c>
      <c r="C44">
        <v>43</v>
      </c>
      <c r="D44">
        <v>43</v>
      </c>
      <c r="E44">
        <v>43</v>
      </c>
      <c r="F44">
        <v>45412</v>
      </c>
      <c r="G44" t="s">
        <v>420</v>
      </c>
      <c r="H44">
        <v>49500</v>
      </c>
    </row>
    <row r="45" spans="1:8" x14ac:dyDescent="0.35">
      <c r="A45">
        <v>44</v>
      </c>
      <c r="B45">
        <v>44</v>
      </c>
      <c r="C45">
        <v>44</v>
      </c>
      <c r="D45">
        <v>44</v>
      </c>
      <c r="E45">
        <v>44</v>
      </c>
      <c r="F45">
        <v>45412</v>
      </c>
      <c r="G45" t="s">
        <v>420</v>
      </c>
      <c r="H45">
        <v>45500</v>
      </c>
    </row>
    <row r="46" spans="1:8" x14ac:dyDescent="0.35">
      <c r="A46">
        <v>45</v>
      </c>
      <c r="B46">
        <v>45</v>
      </c>
      <c r="C46">
        <v>45</v>
      </c>
      <c r="D46">
        <v>45</v>
      </c>
      <c r="E46">
        <v>45</v>
      </c>
      <c r="F46">
        <v>45412</v>
      </c>
      <c r="G46" t="s">
        <v>420</v>
      </c>
      <c r="H46">
        <v>47500</v>
      </c>
    </row>
    <row r="47" spans="1:8" x14ac:dyDescent="0.35">
      <c r="A47">
        <v>46</v>
      </c>
      <c r="B47">
        <v>46</v>
      </c>
      <c r="C47">
        <v>46</v>
      </c>
      <c r="D47">
        <v>46</v>
      </c>
      <c r="E47">
        <v>46</v>
      </c>
      <c r="F47">
        <v>45412</v>
      </c>
      <c r="G47" t="s">
        <v>420</v>
      </c>
      <c r="H47">
        <v>48500</v>
      </c>
    </row>
    <row r="48" spans="1:8" x14ac:dyDescent="0.35">
      <c r="A48">
        <v>47</v>
      </c>
      <c r="B48">
        <v>47</v>
      </c>
      <c r="C48">
        <v>47</v>
      </c>
      <c r="D48">
        <v>47</v>
      </c>
      <c r="E48">
        <v>47</v>
      </c>
      <c r="F48">
        <v>45412</v>
      </c>
      <c r="G48" t="s">
        <v>420</v>
      </c>
      <c r="H48">
        <v>46500</v>
      </c>
    </row>
    <row r="49" spans="1:8" x14ac:dyDescent="0.35">
      <c r="A49">
        <v>48</v>
      </c>
      <c r="B49">
        <v>48</v>
      </c>
      <c r="C49">
        <v>48</v>
      </c>
      <c r="D49">
        <v>48</v>
      </c>
      <c r="E49">
        <v>48</v>
      </c>
      <c r="F49">
        <v>45412</v>
      </c>
      <c r="G49" t="s">
        <v>420</v>
      </c>
      <c r="H49">
        <v>43500</v>
      </c>
    </row>
    <row r="50" spans="1:8" x14ac:dyDescent="0.35">
      <c r="A50">
        <v>49</v>
      </c>
      <c r="B50">
        <v>49</v>
      </c>
      <c r="C50">
        <v>49</v>
      </c>
      <c r="D50">
        <v>49</v>
      </c>
      <c r="E50">
        <v>49</v>
      </c>
      <c r="F50">
        <v>45412</v>
      </c>
      <c r="G50" t="s">
        <v>420</v>
      </c>
      <c r="H50">
        <v>48500</v>
      </c>
    </row>
    <row r="51" spans="1:8" x14ac:dyDescent="0.35">
      <c r="A51">
        <v>50</v>
      </c>
      <c r="B51">
        <v>50</v>
      </c>
      <c r="C51">
        <v>50</v>
      </c>
      <c r="D51">
        <v>50</v>
      </c>
      <c r="E51">
        <v>50</v>
      </c>
      <c r="F51">
        <v>45412</v>
      </c>
      <c r="G51" t="s">
        <v>420</v>
      </c>
      <c r="H51">
        <v>47500</v>
      </c>
    </row>
    <row r="52" spans="1:8" x14ac:dyDescent="0.35">
      <c r="A52">
        <v>51</v>
      </c>
      <c r="B52">
        <v>51</v>
      </c>
      <c r="C52">
        <v>51</v>
      </c>
      <c r="D52">
        <v>51</v>
      </c>
      <c r="E52">
        <v>51</v>
      </c>
      <c r="F52">
        <v>45412</v>
      </c>
      <c r="G52" t="s">
        <v>420</v>
      </c>
      <c r="H52">
        <v>50500</v>
      </c>
    </row>
    <row r="53" spans="1:8" x14ac:dyDescent="0.35">
      <c r="A53">
        <v>52</v>
      </c>
      <c r="B53">
        <v>52</v>
      </c>
      <c r="C53">
        <v>52</v>
      </c>
      <c r="D53">
        <v>52</v>
      </c>
      <c r="E53">
        <v>52</v>
      </c>
      <c r="F53">
        <v>45412</v>
      </c>
      <c r="G53" t="s">
        <v>420</v>
      </c>
      <c r="H53">
        <v>46500</v>
      </c>
    </row>
    <row r="54" spans="1:8" x14ac:dyDescent="0.35">
      <c r="A54">
        <v>53</v>
      </c>
      <c r="B54">
        <v>53</v>
      </c>
      <c r="C54">
        <v>53</v>
      </c>
      <c r="D54">
        <v>53</v>
      </c>
      <c r="E54">
        <v>53</v>
      </c>
      <c r="F54">
        <v>45412</v>
      </c>
      <c r="G54" t="s">
        <v>420</v>
      </c>
      <c r="H54">
        <v>49500</v>
      </c>
    </row>
    <row r="55" spans="1:8" x14ac:dyDescent="0.35">
      <c r="A55">
        <v>54</v>
      </c>
      <c r="B55">
        <v>54</v>
      </c>
      <c r="C55">
        <v>54</v>
      </c>
      <c r="D55">
        <v>54</v>
      </c>
      <c r="E55">
        <v>54</v>
      </c>
      <c r="F55">
        <v>45412</v>
      </c>
      <c r="G55" t="s">
        <v>420</v>
      </c>
      <c r="H55">
        <v>46500</v>
      </c>
    </row>
    <row r="56" spans="1:8" x14ac:dyDescent="0.35">
      <c r="A56">
        <v>55</v>
      </c>
      <c r="B56">
        <v>55</v>
      </c>
      <c r="C56">
        <v>55</v>
      </c>
      <c r="D56">
        <v>55</v>
      </c>
      <c r="E56">
        <v>55</v>
      </c>
      <c r="F56">
        <v>45412</v>
      </c>
      <c r="G56" t="s">
        <v>420</v>
      </c>
      <c r="H56">
        <v>43500</v>
      </c>
    </row>
    <row r="57" spans="1:8" x14ac:dyDescent="0.35">
      <c r="A57">
        <v>56</v>
      </c>
      <c r="B57">
        <v>56</v>
      </c>
      <c r="C57">
        <v>56</v>
      </c>
      <c r="D57">
        <v>56</v>
      </c>
      <c r="E57">
        <v>56</v>
      </c>
      <c r="F57">
        <v>45412</v>
      </c>
      <c r="G57" t="s">
        <v>420</v>
      </c>
      <c r="H57">
        <v>42500</v>
      </c>
    </row>
    <row r="58" spans="1:8" x14ac:dyDescent="0.35">
      <c r="A58">
        <v>57</v>
      </c>
      <c r="B58">
        <v>57</v>
      </c>
      <c r="C58">
        <v>57</v>
      </c>
      <c r="D58">
        <v>57</v>
      </c>
      <c r="E58">
        <v>57</v>
      </c>
      <c r="F58">
        <v>45412</v>
      </c>
      <c r="G58" t="s">
        <v>420</v>
      </c>
      <c r="H58">
        <v>48500</v>
      </c>
    </row>
    <row r="59" spans="1:8" x14ac:dyDescent="0.35">
      <c r="A59">
        <v>58</v>
      </c>
      <c r="B59">
        <v>58</v>
      </c>
      <c r="C59">
        <v>58</v>
      </c>
      <c r="D59">
        <v>58</v>
      </c>
      <c r="E59">
        <v>58</v>
      </c>
      <c r="F59">
        <v>45412</v>
      </c>
      <c r="G59" t="s">
        <v>420</v>
      </c>
      <c r="H59">
        <v>45500</v>
      </c>
    </row>
    <row r="60" spans="1:8" x14ac:dyDescent="0.35">
      <c r="A60">
        <v>59</v>
      </c>
      <c r="B60">
        <v>59</v>
      </c>
      <c r="C60">
        <v>59</v>
      </c>
      <c r="D60">
        <v>59</v>
      </c>
      <c r="E60">
        <v>59</v>
      </c>
      <c r="F60">
        <v>45412</v>
      </c>
      <c r="G60" t="s">
        <v>420</v>
      </c>
      <c r="H60">
        <v>44500</v>
      </c>
    </row>
    <row r="61" spans="1:8" x14ac:dyDescent="0.35">
      <c r="A61">
        <v>60</v>
      </c>
      <c r="B61">
        <v>60</v>
      </c>
      <c r="C61">
        <v>60</v>
      </c>
      <c r="D61">
        <v>60</v>
      </c>
      <c r="E61">
        <v>60</v>
      </c>
      <c r="F61">
        <v>45412</v>
      </c>
      <c r="G61" t="s">
        <v>420</v>
      </c>
      <c r="H61">
        <v>47500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A6A0-9DD7-4B6E-B390-09CFC328C3AD}">
  <dimension ref="A1:B13"/>
  <sheetViews>
    <sheetView workbookViewId="0">
      <selection activeCell="A2" sqref="A2"/>
    </sheetView>
  </sheetViews>
  <sheetFormatPr defaultRowHeight="14.5" x14ac:dyDescent="0.35"/>
  <cols>
    <col min="1" max="1" width="12.453125" bestFit="1" customWidth="1"/>
    <col min="2" max="2" width="14.7265625" bestFit="1" customWidth="1"/>
  </cols>
  <sheetData>
    <row r="1" spans="1:2" x14ac:dyDescent="0.35">
      <c r="A1" t="s">
        <v>428</v>
      </c>
    </row>
    <row r="3" spans="1:2" x14ac:dyDescent="0.35">
      <c r="A3" s="1" t="s">
        <v>424</v>
      </c>
      <c r="B3" t="s">
        <v>427</v>
      </c>
    </row>
    <row r="4" spans="1:2" x14ac:dyDescent="0.35">
      <c r="A4" s="2" t="s">
        <v>251</v>
      </c>
      <c r="B4" s="3">
        <v>7</v>
      </c>
    </row>
    <row r="5" spans="1:2" x14ac:dyDescent="0.35">
      <c r="A5" s="2" t="s">
        <v>236</v>
      </c>
      <c r="B5" s="3">
        <v>9</v>
      </c>
    </row>
    <row r="6" spans="1:2" x14ac:dyDescent="0.35">
      <c r="A6" s="2" t="s">
        <v>262</v>
      </c>
      <c r="B6" s="3">
        <v>7</v>
      </c>
    </row>
    <row r="7" spans="1:2" x14ac:dyDescent="0.35">
      <c r="A7" s="2" t="s">
        <v>240</v>
      </c>
      <c r="B7" s="3">
        <v>9</v>
      </c>
    </row>
    <row r="8" spans="1:2" x14ac:dyDescent="0.35">
      <c r="A8" s="2" t="s">
        <v>272</v>
      </c>
      <c r="B8" s="3">
        <v>5</v>
      </c>
    </row>
    <row r="9" spans="1:2" x14ac:dyDescent="0.35">
      <c r="A9" s="2" t="s">
        <v>244</v>
      </c>
      <c r="B9" s="3">
        <v>8</v>
      </c>
    </row>
    <row r="10" spans="1:2" x14ac:dyDescent="0.35">
      <c r="A10" s="2" t="s">
        <v>232</v>
      </c>
      <c r="B10" s="3">
        <v>8</v>
      </c>
    </row>
    <row r="11" spans="1:2" x14ac:dyDescent="0.35">
      <c r="A11" s="2" t="s">
        <v>255</v>
      </c>
      <c r="B11" s="3">
        <v>7</v>
      </c>
    </row>
    <row r="12" spans="1:2" x14ac:dyDescent="0.35">
      <c r="A12" s="2" t="s">
        <v>425</v>
      </c>
      <c r="B12" s="3"/>
    </row>
    <row r="13" spans="1:2" x14ac:dyDescent="0.35">
      <c r="A13" s="2" t="s">
        <v>426</v>
      </c>
      <c r="B13" s="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EA32-01DD-4448-9C64-569ECD01A999}">
  <dimension ref="A1:B13"/>
  <sheetViews>
    <sheetView workbookViewId="0"/>
  </sheetViews>
  <sheetFormatPr defaultRowHeight="14.5" x14ac:dyDescent="0.35"/>
  <cols>
    <col min="1" max="1" width="12.453125" bestFit="1" customWidth="1"/>
    <col min="2" max="2" width="12.1796875" bestFit="1" customWidth="1"/>
  </cols>
  <sheetData>
    <row r="1" spans="1:2" x14ac:dyDescent="0.35">
      <c r="A1" t="s">
        <v>430</v>
      </c>
    </row>
    <row r="3" spans="1:2" x14ac:dyDescent="0.35">
      <c r="A3" s="1" t="s">
        <v>424</v>
      </c>
      <c r="B3" t="s">
        <v>429</v>
      </c>
    </row>
    <row r="4" spans="1:2" x14ac:dyDescent="0.35">
      <c r="A4" s="2" t="s">
        <v>251</v>
      </c>
      <c r="B4" s="3">
        <v>568000</v>
      </c>
    </row>
    <row r="5" spans="1:2" x14ac:dyDescent="0.35">
      <c r="A5" s="2" t="s">
        <v>236</v>
      </c>
      <c r="B5" s="3">
        <v>651000</v>
      </c>
    </row>
    <row r="6" spans="1:2" x14ac:dyDescent="0.35">
      <c r="A6" s="2" t="s">
        <v>262</v>
      </c>
      <c r="B6" s="3">
        <v>438000</v>
      </c>
    </row>
    <row r="7" spans="1:2" x14ac:dyDescent="0.35">
      <c r="A7" s="2" t="s">
        <v>240</v>
      </c>
      <c r="B7" s="3">
        <v>638000</v>
      </c>
    </row>
    <row r="8" spans="1:2" x14ac:dyDescent="0.35">
      <c r="A8" s="2" t="s">
        <v>272</v>
      </c>
      <c r="B8" s="3">
        <v>423000</v>
      </c>
    </row>
    <row r="9" spans="1:2" x14ac:dyDescent="0.35">
      <c r="A9" s="2" t="s">
        <v>244</v>
      </c>
      <c r="B9" s="3">
        <v>525000</v>
      </c>
    </row>
    <row r="10" spans="1:2" x14ac:dyDescent="0.35">
      <c r="A10" s="2" t="s">
        <v>232</v>
      </c>
      <c r="B10" s="3">
        <v>550000</v>
      </c>
    </row>
    <row r="11" spans="1:2" x14ac:dyDescent="0.35">
      <c r="A11" s="2" t="s">
        <v>255</v>
      </c>
      <c r="B11" s="3">
        <v>528000</v>
      </c>
    </row>
    <row r="12" spans="1:2" x14ac:dyDescent="0.35">
      <c r="A12" s="2" t="s">
        <v>425</v>
      </c>
      <c r="B12" s="3"/>
    </row>
    <row r="13" spans="1:2" x14ac:dyDescent="0.35">
      <c r="A13" s="2" t="s">
        <v>426</v>
      </c>
      <c r="B13" s="3">
        <v>4321000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D159-AC30-4046-8C6A-B029D3FAAB9B}">
  <dimension ref="A1:D74"/>
  <sheetViews>
    <sheetView tabSelected="1" workbookViewId="0"/>
  </sheetViews>
  <sheetFormatPr defaultRowHeight="14.5" x14ac:dyDescent="0.35"/>
  <cols>
    <col min="1" max="1" width="12.453125" bestFit="1" customWidth="1"/>
    <col min="2" max="3" width="12.1796875" bestFit="1" customWidth="1"/>
    <col min="4" max="4" width="12.7265625" bestFit="1" customWidth="1"/>
  </cols>
  <sheetData>
    <row r="1" spans="1:4" x14ac:dyDescent="0.35">
      <c r="A1" t="s">
        <v>433</v>
      </c>
    </row>
    <row r="3" spans="1:4" x14ac:dyDescent="0.35">
      <c r="A3" s="1" t="s">
        <v>424</v>
      </c>
      <c r="B3" t="s">
        <v>429</v>
      </c>
      <c r="C3" t="s">
        <v>432</v>
      </c>
      <c r="D3" t="s">
        <v>431</v>
      </c>
    </row>
    <row r="4" spans="1:4" x14ac:dyDescent="0.35">
      <c r="A4" s="2" t="s">
        <v>251</v>
      </c>
      <c r="B4" s="3">
        <v>568000</v>
      </c>
      <c r="C4" s="3">
        <v>88000</v>
      </c>
      <c r="D4" s="3">
        <v>321500</v>
      </c>
    </row>
    <row r="5" spans="1:4" x14ac:dyDescent="0.35">
      <c r="A5" s="4">
        <v>6</v>
      </c>
      <c r="B5" s="3">
        <v>65000</v>
      </c>
      <c r="C5" s="3">
        <v>10000</v>
      </c>
      <c r="D5" s="3">
        <v>42500</v>
      </c>
    </row>
    <row r="6" spans="1:4" x14ac:dyDescent="0.35">
      <c r="A6" s="4">
        <v>15</v>
      </c>
      <c r="B6" s="3">
        <v>55000</v>
      </c>
      <c r="C6" s="3">
        <v>6000</v>
      </c>
      <c r="D6" s="3">
        <v>47500</v>
      </c>
    </row>
    <row r="7" spans="1:4" x14ac:dyDescent="0.35">
      <c r="A7" s="4">
        <v>23</v>
      </c>
      <c r="B7" s="3">
        <v>85000</v>
      </c>
      <c r="C7" s="3">
        <v>12000</v>
      </c>
      <c r="D7" s="3">
        <v>45500</v>
      </c>
    </row>
    <row r="8" spans="1:4" x14ac:dyDescent="0.35">
      <c r="A8" s="4">
        <v>31</v>
      </c>
      <c r="B8" s="3">
        <v>115000</v>
      </c>
      <c r="C8" s="3">
        <v>18000</v>
      </c>
      <c r="D8" s="3">
        <v>41500</v>
      </c>
    </row>
    <row r="9" spans="1:4" x14ac:dyDescent="0.35">
      <c r="A9" s="4">
        <v>38</v>
      </c>
      <c r="B9" s="3">
        <v>160000</v>
      </c>
      <c r="C9" s="3">
        <v>33000</v>
      </c>
      <c r="D9" s="3">
        <v>47500</v>
      </c>
    </row>
    <row r="10" spans="1:4" x14ac:dyDescent="0.35">
      <c r="A10" s="4">
        <v>45</v>
      </c>
      <c r="B10" s="3">
        <v>42000</v>
      </c>
      <c r="C10" s="3">
        <v>3500</v>
      </c>
      <c r="D10" s="3">
        <v>47500</v>
      </c>
    </row>
    <row r="11" spans="1:4" x14ac:dyDescent="0.35">
      <c r="A11" s="4">
        <v>53</v>
      </c>
      <c r="B11" s="3">
        <v>46000</v>
      </c>
      <c r="C11" s="3">
        <v>5500</v>
      </c>
      <c r="D11" s="3">
        <v>49500</v>
      </c>
    </row>
    <row r="12" spans="1:4" x14ac:dyDescent="0.35">
      <c r="A12" s="2" t="s">
        <v>236</v>
      </c>
      <c r="B12" s="3">
        <v>651000</v>
      </c>
      <c r="C12" s="3">
        <v>96000</v>
      </c>
      <c r="D12" s="3">
        <v>420500</v>
      </c>
    </row>
    <row r="13" spans="1:4" x14ac:dyDescent="0.35">
      <c r="A13" s="4">
        <v>2</v>
      </c>
      <c r="B13" s="3">
        <v>55000</v>
      </c>
      <c r="C13" s="3">
        <v>7000</v>
      </c>
      <c r="D13" s="3">
        <v>45500</v>
      </c>
    </row>
    <row r="14" spans="1:4" x14ac:dyDescent="0.35">
      <c r="A14" s="4">
        <v>5</v>
      </c>
      <c r="B14" s="3">
        <v>47000</v>
      </c>
      <c r="C14" s="3">
        <v>4500</v>
      </c>
      <c r="D14" s="3">
        <v>38500</v>
      </c>
    </row>
    <row r="15" spans="1:4" x14ac:dyDescent="0.35">
      <c r="A15" s="4">
        <v>13</v>
      </c>
      <c r="B15" s="3">
        <v>60000</v>
      </c>
      <c r="C15" s="3">
        <v>8000</v>
      </c>
      <c r="D15" s="3">
        <v>50500</v>
      </c>
    </row>
    <row r="16" spans="1:4" x14ac:dyDescent="0.35">
      <c r="A16" s="4">
        <v>21</v>
      </c>
      <c r="B16" s="3">
        <v>95000</v>
      </c>
      <c r="C16" s="3">
        <v>15000</v>
      </c>
      <c r="D16" s="3">
        <v>46500</v>
      </c>
    </row>
    <row r="17" spans="1:4" x14ac:dyDescent="0.35">
      <c r="A17" s="4">
        <v>30</v>
      </c>
      <c r="B17" s="3">
        <v>105000</v>
      </c>
      <c r="C17" s="3">
        <v>15000</v>
      </c>
      <c r="D17" s="3">
        <v>50500</v>
      </c>
    </row>
    <row r="18" spans="1:4" x14ac:dyDescent="0.35">
      <c r="A18" s="4">
        <v>37</v>
      </c>
      <c r="B18" s="3">
        <v>170000</v>
      </c>
      <c r="C18" s="3">
        <v>35000</v>
      </c>
      <c r="D18" s="3">
        <v>44500</v>
      </c>
    </row>
    <row r="19" spans="1:4" x14ac:dyDescent="0.35">
      <c r="A19" s="4">
        <v>43</v>
      </c>
      <c r="B19" s="3">
        <v>32000</v>
      </c>
      <c r="C19" s="3">
        <v>3000</v>
      </c>
      <c r="D19" s="3">
        <v>49500</v>
      </c>
    </row>
    <row r="20" spans="1:4" x14ac:dyDescent="0.35">
      <c r="A20" s="4">
        <v>51</v>
      </c>
      <c r="B20" s="3">
        <v>42000</v>
      </c>
      <c r="C20" s="3">
        <v>4000</v>
      </c>
      <c r="D20" s="3">
        <v>50500</v>
      </c>
    </row>
    <row r="21" spans="1:4" x14ac:dyDescent="0.35">
      <c r="A21" s="4">
        <v>59</v>
      </c>
      <c r="B21" s="3">
        <v>45000</v>
      </c>
      <c r="C21" s="3">
        <v>4500</v>
      </c>
      <c r="D21" s="3">
        <v>44500</v>
      </c>
    </row>
    <row r="22" spans="1:4" x14ac:dyDescent="0.35">
      <c r="A22" s="2" t="s">
        <v>262</v>
      </c>
      <c r="B22" s="3">
        <v>438000</v>
      </c>
      <c r="C22" s="3">
        <v>57200</v>
      </c>
      <c r="D22" s="3">
        <v>319500</v>
      </c>
    </row>
    <row r="23" spans="1:4" x14ac:dyDescent="0.35">
      <c r="A23" s="4">
        <v>9</v>
      </c>
      <c r="B23" s="3">
        <v>55000</v>
      </c>
      <c r="C23" s="3">
        <v>7000</v>
      </c>
      <c r="D23" s="3">
        <v>40500</v>
      </c>
    </row>
    <row r="24" spans="1:4" x14ac:dyDescent="0.35">
      <c r="A24" s="4">
        <v>18</v>
      </c>
      <c r="B24" s="3">
        <v>60000</v>
      </c>
      <c r="C24" s="3">
        <v>7500</v>
      </c>
      <c r="D24" s="3">
        <v>51500</v>
      </c>
    </row>
    <row r="25" spans="1:4" x14ac:dyDescent="0.35">
      <c r="A25" s="4">
        <v>25</v>
      </c>
      <c r="B25" s="3">
        <v>72000</v>
      </c>
      <c r="C25" s="3">
        <v>8500</v>
      </c>
      <c r="D25" s="3">
        <v>45500</v>
      </c>
    </row>
    <row r="26" spans="1:4" x14ac:dyDescent="0.35">
      <c r="A26" s="4">
        <v>33</v>
      </c>
      <c r="B26" s="3">
        <v>120000</v>
      </c>
      <c r="C26" s="3">
        <v>20000</v>
      </c>
      <c r="D26" s="3">
        <v>49500</v>
      </c>
    </row>
    <row r="27" spans="1:4" x14ac:dyDescent="0.35">
      <c r="A27" s="4">
        <v>40</v>
      </c>
      <c r="B27" s="3">
        <v>50000</v>
      </c>
      <c r="C27" s="3">
        <v>6000</v>
      </c>
      <c r="D27" s="3">
        <v>46500</v>
      </c>
    </row>
    <row r="28" spans="1:4" x14ac:dyDescent="0.35">
      <c r="A28" s="4">
        <v>48</v>
      </c>
      <c r="B28" s="3">
        <v>34000</v>
      </c>
      <c r="C28" s="3">
        <v>3200</v>
      </c>
      <c r="D28" s="3">
        <v>43500</v>
      </c>
    </row>
    <row r="29" spans="1:4" x14ac:dyDescent="0.35">
      <c r="A29" s="4">
        <v>56</v>
      </c>
      <c r="B29" s="3">
        <v>47000</v>
      </c>
      <c r="C29" s="3">
        <v>5000</v>
      </c>
      <c r="D29" s="3">
        <v>42500</v>
      </c>
    </row>
    <row r="30" spans="1:4" x14ac:dyDescent="0.35">
      <c r="A30" s="2" t="s">
        <v>240</v>
      </c>
      <c r="B30" s="3">
        <v>638000</v>
      </c>
      <c r="C30" s="3">
        <v>94000</v>
      </c>
      <c r="D30" s="3">
        <v>413500</v>
      </c>
    </row>
    <row r="31" spans="1:4" x14ac:dyDescent="0.35">
      <c r="A31" s="4">
        <v>3</v>
      </c>
      <c r="B31" s="3">
        <v>40000</v>
      </c>
      <c r="C31" s="3">
        <v>4000</v>
      </c>
      <c r="D31" s="3">
        <v>39500</v>
      </c>
    </row>
    <row r="32" spans="1:4" x14ac:dyDescent="0.35">
      <c r="A32" s="4">
        <v>8</v>
      </c>
      <c r="B32" s="3">
        <v>42000</v>
      </c>
      <c r="C32" s="3">
        <v>3500</v>
      </c>
      <c r="D32" s="3">
        <v>45500</v>
      </c>
    </row>
    <row r="33" spans="1:4" x14ac:dyDescent="0.35">
      <c r="A33" s="4">
        <v>14</v>
      </c>
      <c r="B33" s="3">
        <v>38000</v>
      </c>
      <c r="C33" s="3">
        <v>3000</v>
      </c>
      <c r="D33" s="3">
        <v>48500</v>
      </c>
    </row>
    <row r="34" spans="1:4" x14ac:dyDescent="0.35">
      <c r="A34" s="4">
        <v>22</v>
      </c>
      <c r="B34" s="3">
        <v>105000</v>
      </c>
      <c r="C34" s="3">
        <v>18000</v>
      </c>
      <c r="D34" s="3">
        <v>47500</v>
      </c>
    </row>
    <row r="35" spans="1:4" x14ac:dyDescent="0.35">
      <c r="A35" s="4">
        <v>28</v>
      </c>
      <c r="B35" s="3">
        <v>120000</v>
      </c>
      <c r="C35" s="3">
        <v>20000</v>
      </c>
      <c r="D35" s="3">
        <v>49500</v>
      </c>
    </row>
    <row r="36" spans="1:4" x14ac:dyDescent="0.35">
      <c r="A36" s="4">
        <v>36</v>
      </c>
      <c r="B36" s="3">
        <v>150000</v>
      </c>
      <c r="C36" s="3">
        <v>28000</v>
      </c>
      <c r="D36" s="3">
        <v>43500</v>
      </c>
    </row>
    <row r="37" spans="1:4" x14ac:dyDescent="0.35">
      <c r="A37" s="4">
        <v>44</v>
      </c>
      <c r="B37" s="3">
        <v>38000</v>
      </c>
      <c r="C37" s="3">
        <v>4000</v>
      </c>
      <c r="D37" s="3">
        <v>45500</v>
      </c>
    </row>
    <row r="38" spans="1:4" x14ac:dyDescent="0.35">
      <c r="A38" s="4">
        <v>52</v>
      </c>
      <c r="B38" s="3">
        <v>35000</v>
      </c>
      <c r="C38" s="3">
        <v>3500</v>
      </c>
      <c r="D38" s="3">
        <v>46500</v>
      </c>
    </row>
    <row r="39" spans="1:4" x14ac:dyDescent="0.35">
      <c r="A39" s="4">
        <v>60</v>
      </c>
      <c r="B39" s="3">
        <v>70000</v>
      </c>
      <c r="C39" s="3">
        <v>10000</v>
      </c>
      <c r="D39" s="3">
        <v>47500</v>
      </c>
    </row>
    <row r="40" spans="1:4" x14ac:dyDescent="0.35">
      <c r="A40" s="2" t="s">
        <v>272</v>
      </c>
      <c r="B40" s="3">
        <v>423000</v>
      </c>
      <c r="C40" s="3">
        <v>66500</v>
      </c>
      <c r="D40" s="3">
        <v>238500</v>
      </c>
    </row>
    <row r="41" spans="1:4" x14ac:dyDescent="0.35">
      <c r="A41" s="4">
        <v>12</v>
      </c>
      <c r="B41" s="3">
        <v>90000</v>
      </c>
      <c r="C41" s="3">
        <v>15000</v>
      </c>
      <c r="D41" s="3">
        <v>51500</v>
      </c>
    </row>
    <row r="42" spans="1:4" x14ac:dyDescent="0.35">
      <c r="A42" s="4">
        <v>20</v>
      </c>
      <c r="B42" s="3">
        <v>115000</v>
      </c>
      <c r="C42" s="3">
        <v>20000</v>
      </c>
      <c r="D42" s="3">
        <v>48500</v>
      </c>
    </row>
    <row r="43" spans="1:4" x14ac:dyDescent="0.35">
      <c r="A43" s="4">
        <v>29</v>
      </c>
      <c r="B43" s="3">
        <v>130000</v>
      </c>
      <c r="C43" s="3">
        <v>22000</v>
      </c>
      <c r="D43" s="3">
        <v>45500</v>
      </c>
    </row>
    <row r="44" spans="1:4" x14ac:dyDescent="0.35">
      <c r="A44" s="4">
        <v>50</v>
      </c>
      <c r="B44" s="3">
        <v>40000</v>
      </c>
      <c r="C44" s="3">
        <v>4500</v>
      </c>
      <c r="D44" s="3">
        <v>47500</v>
      </c>
    </row>
    <row r="45" spans="1:4" x14ac:dyDescent="0.35">
      <c r="A45" s="4">
        <v>58</v>
      </c>
      <c r="B45" s="3">
        <v>48000</v>
      </c>
      <c r="C45" s="3">
        <v>5000</v>
      </c>
      <c r="D45" s="3">
        <v>45500</v>
      </c>
    </row>
    <row r="46" spans="1:4" x14ac:dyDescent="0.35">
      <c r="A46" s="2" t="s">
        <v>244</v>
      </c>
      <c r="B46" s="3">
        <v>525000</v>
      </c>
      <c r="C46" s="3">
        <v>73000</v>
      </c>
      <c r="D46" s="3">
        <v>367000</v>
      </c>
    </row>
    <row r="47" spans="1:4" x14ac:dyDescent="0.35">
      <c r="A47" s="4">
        <v>4</v>
      </c>
      <c r="B47" s="3">
        <v>48000</v>
      </c>
      <c r="C47" s="3">
        <v>6000</v>
      </c>
      <c r="D47" s="3">
        <v>43500</v>
      </c>
    </row>
    <row r="48" spans="1:4" x14ac:dyDescent="0.35">
      <c r="A48" s="4">
        <v>11</v>
      </c>
      <c r="B48" s="3">
        <v>52000</v>
      </c>
      <c r="C48" s="3">
        <v>6000</v>
      </c>
      <c r="D48" s="3">
        <v>49500</v>
      </c>
    </row>
    <row r="49" spans="1:4" x14ac:dyDescent="0.35">
      <c r="A49" s="4">
        <v>16</v>
      </c>
      <c r="B49" s="3">
        <v>53000</v>
      </c>
      <c r="C49" s="3">
        <v>5500</v>
      </c>
      <c r="D49" s="3">
        <v>50500</v>
      </c>
    </row>
    <row r="50" spans="1:4" x14ac:dyDescent="0.35">
      <c r="A50" s="4">
        <v>27</v>
      </c>
      <c r="B50" s="3">
        <v>98000</v>
      </c>
      <c r="C50" s="3">
        <v>13000</v>
      </c>
      <c r="D50" s="3">
        <v>44500</v>
      </c>
    </row>
    <row r="51" spans="1:4" x14ac:dyDescent="0.35">
      <c r="A51" s="4">
        <v>35</v>
      </c>
      <c r="B51" s="3">
        <v>150000</v>
      </c>
      <c r="C51" s="3">
        <v>30000</v>
      </c>
      <c r="D51" s="3">
        <v>45500</v>
      </c>
    </row>
    <row r="52" spans="1:4" x14ac:dyDescent="0.35">
      <c r="A52" s="4">
        <v>42</v>
      </c>
      <c r="B52" s="3">
        <v>45000</v>
      </c>
      <c r="C52" s="3">
        <v>4500</v>
      </c>
      <c r="D52" s="3">
        <v>43500</v>
      </c>
    </row>
    <row r="53" spans="1:4" x14ac:dyDescent="0.35">
      <c r="A53" s="4">
        <v>47</v>
      </c>
      <c r="B53" s="3">
        <v>35000</v>
      </c>
      <c r="C53" s="3">
        <v>3500</v>
      </c>
      <c r="D53" s="3">
        <v>46500</v>
      </c>
    </row>
    <row r="54" spans="1:4" x14ac:dyDescent="0.35">
      <c r="A54" s="4">
        <v>55</v>
      </c>
      <c r="B54" s="3">
        <v>44000</v>
      </c>
      <c r="C54" s="3">
        <v>4500</v>
      </c>
      <c r="D54" s="3">
        <v>43500</v>
      </c>
    </row>
    <row r="55" spans="1:4" x14ac:dyDescent="0.35">
      <c r="A55" s="2" t="s">
        <v>232</v>
      </c>
      <c r="B55" s="3">
        <v>550000</v>
      </c>
      <c r="C55" s="3">
        <v>77500</v>
      </c>
      <c r="D55" s="3">
        <v>367000</v>
      </c>
    </row>
    <row r="56" spans="1:4" x14ac:dyDescent="0.35">
      <c r="A56" s="4">
        <v>1</v>
      </c>
      <c r="B56" s="3">
        <v>45000</v>
      </c>
      <c r="C56" s="3">
        <v>5000</v>
      </c>
      <c r="D56" s="3">
        <v>40500</v>
      </c>
    </row>
    <row r="57" spans="1:4" x14ac:dyDescent="0.35">
      <c r="A57" s="4">
        <v>10</v>
      </c>
      <c r="B57" s="3">
        <v>48000</v>
      </c>
      <c r="C57" s="3">
        <v>5500</v>
      </c>
      <c r="D57" s="3">
        <v>38500</v>
      </c>
    </row>
    <row r="58" spans="1:4" x14ac:dyDescent="0.35">
      <c r="A58" s="4">
        <v>19</v>
      </c>
      <c r="B58" s="3">
        <v>95000</v>
      </c>
      <c r="C58" s="3">
        <v>15000</v>
      </c>
      <c r="D58" s="3">
        <v>49500</v>
      </c>
    </row>
    <row r="59" spans="1:4" x14ac:dyDescent="0.35">
      <c r="A59" s="4">
        <v>26</v>
      </c>
      <c r="B59" s="3">
        <v>105000</v>
      </c>
      <c r="C59" s="3">
        <v>15000</v>
      </c>
      <c r="D59" s="3">
        <v>46500</v>
      </c>
    </row>
    <row r="60" spans="1:4" x14ac:dyDescent="0.35">
      <c r="A60" s="4">
        <v>34</v>
      </c>
      <c r="B60" s="3">
        <v>135000</v>
      </c>
      <c r="C60" s="3">
        <v>25000</v>
      </c>
      <c r="D60" s="3">
        <v>46500</v>
      </c>
    </row>
    <row r="61" spans="1:4" x14ac:dyDescent="0.35">
      <c r="A61" s="4">
        <v>41</v>
      </c>
      <c r="B61" s="3">
        <v>48000</v>
      </c>
      <c r="C61" s="3">
        <v>5000</v>
      </c>
      <c r="D61" s="3">
        <v>48500</v>
      </c>
    </row>
    <row r="62" spans="1:4" x14ac:dyDescent="0.35">
      <c r="A62" s="4">
        <v>49</v>
      </c>
      <c r="B62" s="3">
        <v>31000</v>
      </c>
      <c r="C62" s="3">
        <v>3000</v>
      </c>
      <c r="D62" s="3">
        <v>48500</v>
      </c>
    </row>
    <row r="63" spans="1:4" x14ac:dyDescent="0.35">
      <c r="A63" s="4">
        <v>57</v>
      </c>
      <c r="B63" s="3">
        <v>43000</v>
      </c>
      <c r="C63" s="3">
        <v>4000</v>
      </c>
      <c r="D63" s="3">
        <v>48500</v>
      </c>
    </row>
    <row r="64" spans="1:4" x14ac:dyDescent="0.35">
      <c r="A64" s="2" t="s">
        <v>255</v>
      </c>
      <c r="B64" s="3">
        <v>528000</v>
      </c>
      <c r="C64" s="3">
        <v>78500</v>
      </c>
      <c r="D64" s="3">
        <v>330500</v>
      </c>
    </row>
    <row r="65" spans="1:4" x14ac:dyDescent="0.35">
      <c r="A65" s="4">
        <v>7</v>
      </c>
      <c r="B65" s="3">
        <v>80000</v>
      </c>
      <c r="C65" s="3">
        <v>12000</v>
      </c>
      <c r="D65" s="3">
        <v>44500</v>
      </c>
    </row>
    <row r="66" spans="1:4" x14ac:dyDescent="0.35">
      <c r="A66" s="4">
        <v>17</v>
      </c>
      <c r="B66" s="3">
        <v>47000</v>
      </c>
      <c r="C66" s="3">
        <v>4500</v>
      </c>
      <c r="D66" s="3">
        <v>49500</v>
      </c>
    </row>
    <row r="67" spans="1:4" x14ac:dyDescent="0.35">
      <c r="A67" s="4">
        <v>24</v>
      </c>
      <c r="B67" s="3">
        <v>95000</v>
      </c>
      <c r="C67" s="3">
        <v>13000</v>
      </c>
      <c r="D67" s="3">
        <v>47500</v>
      </c>
    </row>
    <row r="68" spans="1:4" x14ac:dyDescent="0.35">
      <c r="A68" s="4">
        <v>32</v>
      </c>
      <c r="B68" s="3">
        <v>95000</v>
      </c>
      <c r="C68" s="3">
        <v>14000</v>
      </c>
      <c r="D68" s="3">
        <v>48500</v>
      </c>
    </row>
    <row r="69" spans="1:4" x14ac:dyDescent="0.35">
      <c r="A69" s="4">
        <v>39</v>
      </c>
      <c r="B69" s="3">
        <v>140000</v>
      </c>
      <c r="C69" s="3">
        <v>28000</v>
      </c>
      <c r="D69" s="3">
        <v>45500</v>
      </c>
    </row>
    <row r="70" spans="1:4" x14ac:dyDescent="0.35">
      <c r="A70" s="4">
        <v>46</v>
      </c>
      <c r="B70" s="3">
        <v>33000</v>
      </c>
      <c r="C70" s="3">
        <v>3000</v>
      </c>
      <c r="D70" s="3">
        <v>48500</v>
      </c>
    </row>
    <row r="71" spans="1:4" x14ac:dyDescent="0.35">
      <c r="A71" s="4">
        <v>54</v>
      </c>
      <c r="B71" s="3">
        <v>38000</v>
      </c>
      <c r="C71" s="3">
        <v>4000</v>
      </c>
      <c r="D71" s="3">
        <v>46500</v>
      </c>
    </row>
    <row r="72" spans="1:4" x14ac:dyDescent="0.35">
      <c r="A72" s="2" t="s">
        <v>425</v>
      </c>
      <c r="B72" s="3"/>
      <c r="C72" s="3"/>
      <c r="D72" s="3"/>
    </row>
    <row r="73" spans="1:4" x14ac:dyDescent="0.35">
      <c r="A73" s="4" t="s">
        <v>425</v>
      </c>
      <c r="B73" s="3"/>
      <c r="C73" s="3"/>
      <c r="D73" s="3"/>
    </row>
    <row r="74" spans="1:4" x14ac:dyDescent="0.35">
      <c r="A74" s="2" t="s">
        <v>426</v>
      </c>
      <c r="B74" s="3">
        <v>4321000</v>
      </c>
      <c r="C74" s="3">
        <v>630700</v>
      </c>
      <c r="D74" s="3">
        <v>2778000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3F9F-BD51-4EAE-B147-5A41181EC067}">
  <dimension ref="A1:M61"/>
  <sheetViews>
    <sheetView workbookViewId="0">
      <selection sqref="A1:XFD1048576"/>
    </sheetView>
  </sheetViews>
  <sheetFormatPr defaultRowHeight="14.5" x14ac:dyDescent="0.35"/>
  <cols>
    <col min="1" max="1" width="6.90625" bestFit="1" customWidth="1"/>
    <col min="2" max="2" width="9.26953125" bestFit="1" customWidth="1"/>
    <col min="3" max="3" width="9.08984375" bestFit="1" customWidth="1"/>
    <col min="4" max="4" width="6.7265625" bestFit="1" customWidth="1"/>
    <col min="5" max="5" width="3.81640625" bestFit="1" customWidth="1"/>
    <col min="6" max="6" width="17.26953125" bestFit="1" customWidth="1"/>
    <col min="7" max="7" width="28.7265625" bestFit="1" customWidth="1"/>
    <col min="8" max="8" width="11.54296875" bestFit="1" customWidth="1"/>
    <col min="9" max="9" width="6" bestFit="1" customWidth="1"/>
    <col min="10" max="10" width="10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421</v>
      </c>
      <c r="K1" t="s">
        <v>422</v>
      </c>
      <c r="L1" t="s">
        <v>414</v>
      </c>
      <c r="M1" t="s">
        <v>423</v>
      </c>
    </row>
    <row r="2" spans="1:13" x14ac:dyDescent="0.35">
      <c r="A2">
        <v>1</v>
      </c>
      <c r="B2" t="s">
        <v>9</v>
      </c>
      <c r="C2" t="s">
        <v>10</v>
      </c>
      <c r="D2" t="s">
        <v>11</v>
      </c>
      <c r="E2">
        <v>30</v>
      </c>
      <c r="F2" t="s">
        <v>12</v>
      </c>
      <c r="G2" t="s">
        <v>13</v>
      </c>
      <c r="H2" t="s">
        <v>14</v>
      </c>
      <c r="I2">
        <v>1</v>
      </c>
      <c r="J2" t="str">
        <f>VLOOKUP(I2, jobdepartment!$A:$B, 2, FALSE)</f>
        <v>Operations</v>
      </c>
      <c r="K2">
        <f>VLOOKUP(I2,salarybonus!$B:$C, 2, FALSE)</f>
        <v>45000</v>
      </c>
      <c r="L2">
        <f>VLOOKUP(I2, salarybonus!$B:$E,4,FALSE)</f>
        <v>5000</v>
      </c>
      <c r="M2">
        <f>VLOOKUP(A2, payroll!$B:$H, 7, FALSE)</f>
        <v>40500</v>
      </c>
    </row>
    <row r="3" spans="1:13" x14ac:dyDescent="0.35">
      <c r="A3">
        <v>2</v>
      </c>
      <c r="B3" t="s">
        <v>15</v>
      </c>
      <c r="C3" t="s">
        <v>16</v>
      </c>
      <c r="D3" t="s">
        <v>17</v>
      </c>
      <c r="E3">
        <v>28</v>
      </c>
      <c r="F3" t="s">
        <v>18</v>
      </c>
      <c r="G3" t="s">
        <v>19</v>
      </c>
      <c r="H3" t="s">
        <v>14</v>
      </c>
      <c r="I3">
        <v>2</v>
      </c>
      <c r="J3" t="str">
        <f>VLOOKUP(I3, jobdepartment!$A:$B, 2, FALSE)</f>
        <v>Finance</v>
      </c>
      <c r="K3">
        <f>VLOOKUP(I3,salarybonus!$B:$C, 2, FALSE)</f>
        <v>55000</v>
      </c>
      <c r="L3">
        <f>VLOOKUP(I3, salarybonus!$B:$E,4,FALSE)</f>
        <v>7000</v>
      </c>
      <c r="M3">
        <f>VLOOKUP(A3, payroll!$B:$H, 7, FALSE)</f>
        <v>45500</v>
      </c>
    </row>
    <row r="4" spans="1:13" x14ac:dyDescent="0.35">
      <c r="A4">
        <v>3</v>
      </c>
      <c r="B4" t="s">
        <v>20</v>
      </c>
      <c r="C4" t="s">
        <v>21</v>
      </c>
      <c r="D4" t="s">
        <v>17</v>
      </c>
      <c r="E4">
        <v>35</v>
      </c>
      <c r="F4" t="s">
        <v>22</v>
      </c>
      <c r="G4" t="s">
        <v>23</v>
      </c>
      <c r="H4" t="s">
        <v>14</v>
      </c>
      <c r="I4">
        <v>3</v>
      </c>
      <c r="J4" t="str">
        <f>VLOOKUP(I4, jobdepartment!$A:$B, 2, FALSE)</f>
        <v>IT</v>
      </c>
      <c r="K4">
        <f>VLOOKUP(I4,salarybonus!$B:$C, 2, FALSE)</f>
        <v>40000</v>
      </c>
      <c r="L4">
        <f>VLOOKUP(I4, salarybonus!$B:$E,4,FALSE)</f>
        <v>4000</v>
      </c>
      <c r="M4">
        <f>VLOOKUP(A4, payroll!$B:$H, 7, FALSE)</f>
        <v>39500</v>
      </c>
    </row>
    <row r="5" spans="1:13" x14ac:dyDescent="0.35">
      <c r="A5">
        <v>4</v>
      </c>
      <c r="B5" t="s">
        <v>24</v>
      </c>
      <c r="C5" t="s">
        <v>25</v>
      </c>
      <c r="D5" t="s">
        <v>11</v>
      </c>
      <c r="E5">
        <v>40</v>
      </c>
      <c r="F5" t="s">
        <v>26</v>
      </c>
      <c r="G5" t="s">
        <v>27</v>
      </c>
      <c r="H5" t="s">
        <v>14</v>
      </c>
      <c r="I5">
        <v>4</v>
      </c>
      <c r="J5" t="str">
        <f>VLOOKUP(I5, jobdepartment!$A:$B, 2, FALSE)</f>
        <v>Marketing</v>
      </c>
      <c r="K5">
        <f>VLOOKUP(I5,salarybonus!$B:$C, 2, FALSE)</f>
        <v>48000</v>
      </c>
      <c r="L5">
        <f>VLOOKUP(I5, salarybonus!$B:$E,4,FALSE)</f>
        <v>6000</v>
      </c>
      <c r="M5">
        <f>VLOOKUP(A5, payroll!$B:$H, 7, FALSE)</f>
        <v>43500</v>
      </c>
    </row>
    <row r="6" spans="1:13" x14ac:dyDescent="0.35">
      <c r="A6">
        <v>5</v>
      </c>
      <c r="B6" t="s">
        <v>28</v>
      </c>
      <c r="C6" t="s">
        <v>29</v>
      </c>
      <c r="D6" t="s">
        <v>11</v>
      </c>
      <c r="E6">
        <v>33</v>
      </c>
      <c r="F6" t="s">
        <v>30</v>
      </c>
      <c r="G6" t="s">
        <v>31</v>
      </c>
      <c r="H6" t="s">
        <v>14</v>
      </c>
      <c r="I6">
        <v>5</v>
      </c>
      <c r="J6" t="str">
        <f>VLOOKUP(I6, jobdepartment!$A:$B, 2, FALSE)</f>
        <v>Finance</v>
      </c>
      <c r="K6">
        <f>VLOOKUP(I6,salarybonus!$B:$C, 2, FALSE)</f>
        <v>47000</v>
      </c>
      <c r="L6">
        <f>VLOOKUP(I6, salarybonus!$B:$E,4,FALSE)</f>
        <v>4500</v>
      </c>
      <c r="M6">
        <f>VLOOKUP(A6, payroll!$B:$H, 7, FALSE)</f>
        <v>38500</v>
      </c>
    </row>
    <row r="7" spans="1:13" x14ac:dyDescent="0.35">
      <c r="A7">
        <v>6</v>
      </c>
      <c r="B7" t="s">
        <v>32</v>
      </c>
      <c r="C7" t="s">
        <v>33</v>
      </c>
      <c r="D7" t="s">
        <v>11</v>
      </c>
      <c r="E7">
        <v>29</v>
      </c>
      <c r="F7" t="s">
        <v>34</v>
      </c>
      <c r="G7" t="s">
        <v>35</v>
      </c>
      <c r="H7" t="s">
        <v>14</v>
      </c>
      <c r="I7">
        <v>6</v>
      </c>
      <c r="J7" t="str">
        <f>VLOOKUP(I7, jobdepartment!$A:$B, 2, FALSE)</f>
        <v>Engineering</v>
      </c>
      <c r="K7">
        <f>VLOOKUP(I7,salarybonus!$B:$C, 2, FALSE)</f>
        <v>65000</v>
      </c>
      <c r="L7">
        <f>VLOOKUP(I7, salarybonus!$B:$E,4,FALSE)</f>
        <v>10000</v>
      </c>
      <c r="M7">
        <f>VLOOKUP(A7, payroll!$B:$H, 7, FALSE)</f>
        <v>42500</v>
      </c>
    </row>
    <row r="8" spans="1:13" x14ac:dyDescent="0.35">
      <c r="A8">
        <v>7</v>
      </c>
      <c r="B8" t="s">
        <v>36</v>
      </c>
      <c r="C8" t="s">
        <v>37</v>
      </c>
      <c r="D8" t="s">
        <v>17</v>
      </c>
      <c r="E8">
        <v>25</v>
      </c>
      <c r="F8" t="s">
        <v>38</v>
      </c>
      <c r="G8" t="s">
        <v>39</v>
      </c>
      <c r="H8" t="s">
        <v>14</v>
      </c>
      <c r="I8">
        <v>7</v>
      </c>
      <c r="J8" t="str">
        <f>VLOOKUP(I8, jobdepartment!$A:$B, 2, FALSE)</f>
        <v>Sales</v>
      </c>
      <c r="K8">
        <f>VLOOKUP(I8,salarybonus!$B:$C, 2, FALSE)</f>
        <v>80000</v>
      </c>
      <c r="L8">
        <f>VLOOKUP(I8, salarybonus!$B:$E,4,FALSE)</f>
        <v>12000</v>
      </c>
      <c r="M8">
        <f>VLOOKUP(A8, payroll!$B:$H, 7, FALSE)</f>
        <v>44500</v>
      </c>
    </row>
    <row r="9" spans="1:13" x14ac:dyDescent="0.35">
      <c r="A9">
        <v>8</v>
      </c>
      <c r="B9" t="s">
        <v>40</v>
      </c>
      <c r="C9" t="s">
        <v>41</v>
      </c>
      <c r="D9" t="s">
        <v>11</v>
      </c>
      <c r="E9">
        <v>38</v>
      </c>
      <c r="F9" t="s">
        <v>42</v>
      </c>
      <c r="G9" t="s">
        <v>43</v>
      </c>
      <c r="H9" t="s">
        <v>14</v>
      </c>
      <c r="I9">
        <v>8</v>
      </c>
      <c r="J9" t="str">
        <f>VLOOKUP(I9, jobdepartment!$A:$B, 2, FALSE)</f>
        <v>IT</v>
      </c>
      <c r="K9">
        <f>VLOOKUP(I9,salarybonus!$B:$C, 2, FALSE)</f>
        <v>42000</v>
      </c>
      <c r="L9">
        <f>VLOOKUP(I9, salarybonus!$B:$E,4,FALSE)</f>
        <v>3500</v>
      </c>
      <c r="M9">
        <f>VLOOKUP(A9, payroll!$B:$H, 7, FALSE)</f>
        <v>45500</v>
      </c>
    </row>
    <row r="10" spans="1:13" x14ac:dyDescent="0.35">
      <c r="A10">
        <v>9</v>
      </c>
      <c r="B10" t="s">
        <v>44</v>
      </c>
      <c r="C10" t="s">
        <v>45</v>
      </c>
      <c r="D10" t="s">
        <v>17</v>
      </c>
      <c r="E10">
        <v>45</v>
      </c>
      <c r="F10" t="s">
        <v>46</v>
      </c>
      <c r="G10" t="s">
        <v>47</v>
      </c>
      <c r="H10" t="s">
        <v>14</v>
      </c>
      <c r="I10">
        <v>9</v>
      </c>
      <c r="J10" t="str">
        <f>VLOOKUP(I10, jobdepartment!$A:$B, 2, FALSE)</f>
        <v>HR</v>
      </c>
      <c r="K10">
        <f>VLOOKUP(I10,salarybonus!$B:$C, 2, FALSE)</f>
        <v>55000</v>
      </c>
      <c r="L10">
        <f>VLOOKUP(I10, salarybonus!$B:$E,4,FALSE)</f>
        <v>7000</v>
      </c>
      <c r="M10">
        <f>VLOOKUP(A10, payroll!$B:$H, 7, FALSE)</f>
        <v>40500</v>
      </c>
    </row>
    <row r="11" spans="1:13" x14ac:dyDescent="0.35">
      <c r="A11">
        <v>10</v>
      </c>
      <c r="B11" t="s">
        <v>48</v>
      </c>
      <c r="C11" t="s">
        <v>49</v>
      </c>
      <c r="D11" t="s">
        <v>11</v>
      </c>
      <c r="E11">
        <v>50</v>
      </c>
      <c r="F11" t="s">
        <v>50</v>
      </c>
      <c r="G11" t="s">
        <v>51</v>
      </c>
      <c r="H11" t="s">
        <v>14</v>
      </c>
      <c r="I11">
        <v>10</v>
      </c>
      <c r="J11" t="str">
        <f>VLOOKUP(I11, jobdepartment!$A:$B, 2, FALSE)</f>
        <v>Operations</v>
      </c>
      <c r="K11">
        <f>VLOOKUP(I11,salarybonus!$B:$C, 2, FALSE)</f>
        <v>48000</v>
      </c>
      <c r="L11">
        <f>VLOOKUP(I11, salarybonus!$B:$E,4,FALSE)</f>
        <v>5500</v>
      </c>
      <c r="M11">
        <f>VLOOKUP(A11, payroll!$B:$H, 7, FALSE)</f>
        <v>38500</v>
      </c>
    </row>
    <row r="12" spans="1:13" x14ac:dyDescent="0.35">
      <c r="A12">
        <v>11</v>
      </c>
      <c r="B12" t="s">
        <v>52</v>
      </c>
      <c r="C12" t="s">
        <v>53</v>
      </c>
      <c r="D12" t="s">
        <v>17</v>
      </c>
      <c r="E12">
        <v>32</v>
      </c>
      <c r="F12" t="s">
        <v>54</v>
      </c>
      <c r="G12" t="s">
        <v>55</v>
      </c>
      <c r="H12" t="s">
        <v>14</v>
      </c>
      <c r="I12">
        <v>11</v>
      </c>
      <c r="J12" t="str">
        <f>VLOOKUP(I12, jobdepartment!$A:$B, 2, FALSE)</f>
        <v>Marketing</v>
      </c>
      <c r="K12">
        <f>VLOOKUP(I12,salarybonus!$B:$C, 2, FALSE)</f>
        <v>52000</v>
      </c>
      <c r="L12">
        <f>VLOOKUP(I12, salarybonus!$B:$E,4,FALSE)</f>
        <v>6000</v>
      </c>
      <c r="M12">
        <f>VLOOKUP(A12, payroll!$B:$H, 7, FALSE)</f>
        <v>49500</v>
      </c>
    </row>
    <row r="13" spans="1:13" x14ac:dyDescent="0.35">
      <c r="A13">
        <v>12</v>
      </c>
      <c r="B13" t="s">
        <v>56</v>
      </c>
      <c r="C13" t="s">
        <v>57</v>
      </c>
      <c r="D13" t="s">
        <v>11</v>
      </c>
      <c r="E13">
        <v>34</v>
      </c>
      <c r="F13" t="s">
        <v>58</v>
      </c>
      <c r="G13" t="s">
        <v>59</v>
      </c>
      <c r="H13" t="s">
        <v>14</v>
      </c>
      <c r="I13">
        <v>12</v>
      </c>
      <c r="J13" t="str">
        <f>VLOOKUP(I13, jobdepartment!$A:$B, 2, FALSE)</f>
        <v>Legal</v>
      </c>
      <c r="K13">
        <f>VLOOKUP(I13,salarybonus!$B:$C, 2, FALSE)</f>
        <v>90000</v>
      </c>
      <c r="L13">
        <f>VLOOKUP(I13, salarybonus!$B:$E,4,FALSE)</f>
        <v>15000</v>
      </c>
      <c r="M13">
        <f>VLOOKUP(A13, payroll!$B:$H, 7, FALSE)</f>
        <v>51500</v>
      </c>
    </row>
    <row r="14" spans="1:13" x14ac:dyDescent="0.35">
      <c r="A14">
        <v>13</v>
      </c>
      <c r="B14" t="s">
        <v>60</v>
      </c>
      <c r="C14" t="s">
        <v>61</v>
      </c>
      <c r="D14" t="s">
        <v>17</v>
      </c>
      <c r="E14">
        <v>30</v>
      </c>
      <c r="F14" t="s">
        <v>62</v>
      </c>
      <c r="G14" t="s">
        <v>63</v>
      </c>
      <c r="H14" t="s">
        <v>14</v>
      </c>
      <c r="I14">
        <v>13</v>
      </c>
      <c r="J14" t="str">
        <f>VLOOKUP(I14, jobdepartment!$A:$B, 2, FALSE)</f>
        <v>Finance</v>
      </c>
      <c r="K14">
        <f>VLOOKUP(I14,salarybonus!$B:$C, 2, FALSE)</f>
        <v>60000</v>
      </c>
      <c r="L14">
        <f>VLOOKUP(I14, salarybonus!$B:$E,4,FALSE)</f>
        <v>8000</v>
      </c>
      <c r="M14">
        <f>VLOOKUP(A14, payroll!$B:$H, 7, FALSE)</f>
        <v>50500</v>
      </c>
    </row>
    <row r="15" spans="1:13" x14ac:dyDescent="0.35">
      <c r="A15">
        <v>14</v>
      </c>
      <c r="B15" t="s">
        <v>64</v>
      </c>
      <c r="C15" t="s">
        <v>65</v>
      </c>
      <c r="D15" t="s">
        <v>11</v>
      </c>
      <c r="E15">
        <v>27</v>
      </c>
      <c r="F15" t="s">
        <v>66</v>
      </c>
      <c r="G15" t="s">
        <v>67</v>
      </c>
      <c r="H15" t="s">
        <v>14</v>
      </c>
      <c r="I15">
        <v>14</v>
      </c>
      <c r="J15" t="str">
        <f>VLOOKUP(I15, jobdepartment!$A:$B, 2, FALSE)</f>
        <v>IT</v>
      </c>
      <c r="K15">
        <f>VLOOKUP(I15,salarybonus!$B:$C, 2, FALSE)</f>
        <v>38000</v>
      </c>
      <c r="L15">
        <f>VLOOKUP(I15, salarybonus!$B:$E,4,FALSE)</f>
        <v>3000</v>
      </c>
      <c r="M15">
        <f>VLOOKUP(A15, payroll!$B:$H, 7, FALSE)</f>
        <v>48500</v>
      </c>
    </row>
    <row r="16" spans="1:13" x14ac:dyDescent="0.35">
      <c r="A16">
        <v>15</v>
      </c>
      <c r="B16" t="s">
        <v>68</v>
      </c>
      <c r="C16" t="s">
        <v>69</v>
      </c>
      <c r="D16" t="s">
        <v>17</v>
      </c>
      <c r="E16">
        <v>41</v>
      </c>
      <c r="F16" t="s">
        <v>70</v>
      </c>
      <c r="G16" t="s">
        <v>71</v>
      </c>
      <c r="H16" t="s">
        <v>14</v>
      </c>
      <c r="I16">
        <v>15</v>
      </c>
      <c r="J16" t="str">
        <f>VLOOKUP(I16, jobdepartment!$A:$B, 2, FALSE)</f>
        <v>Engineering</v>
      </c>
      <c r="K16">
        <f>VLOOKUP(I16,salarybonus!$B:$C, 2, FALSE)</f>
        <v>55000</v>
      </c>
      <c r="L16">
        <f>VLOOKUP(I16, salarybonus!$B:$E,4,FALSE)</f>
        <v>6000</v>
      </c>
      <c r="M16">
        <f>VLOOKUP(A16, payroll!$B:$H, 7, FALSE)</f>
        <v>47500</v>
      </c>
    </row>
    <row r="17" spans="1:13" x14ac:dyDescent="0.35">
      <c r="A17">
        <v>16</v>
      </c>
      <c r="B17" t="s">
        <v>72</v>
      </c>
      <c r="C17" t="s">
        <v>73</v>
      </c>
      <c r="D17" t="s">
        <v>11</v>
      </c>
      <c r="E17">
        <v>26</v>
      </c>
      <c r="F17" t="s">
        <v>74</v>
      </c>
      <c r="G17" t="s">
        <v>75</v>
      </c>
      <c r="H17" t="s">
        <v>14</v>
      </c>
      <c r="I17">
        <v>16</v>
      </c>
      <c r="J17" t="str">
        <f>VLOOKUP(I17, jobdepartment!$A:$B, 2, FALSE)</f>
        <v>Marketing</v>
      </c>
      <c r="K17">
        <f>VLOOKUP(I17,salarybonus!$B:$C, 2, FALSE)</f>
        <v>53000</v>
      </c>
      <c r="L17">
        <f>VLOOKUP(I17, salarybonus!$B:$E,4,FALSE)</f>
        <v>5500</v>
      </c>
      <c r="M17">
        <f>VLOOKUP(A17, payroll!$B:$H, 7, FALSE)</f>
        <v>50500</v>
      </c>
    </row>
    <row r="18" spans="1:13" x14ac:dyDescent="0.35">
      <c r="A18">
        <v>17</v>
      </c>
      <c r="B18" t="s">
        <v>76</v>
      </c>
      <c r="C18" t="s">
        <v>77</v>
      </c>
      <c r="D18" t="s">
        <v>17</v>
      </c>
      <c r="E18">
        <v>50</v>
      </c>
      <c r="F18" t="s">
        <v>78</v>
      </c>
      <c r="G18" t="s">
        <v>79</v>
      </c>
      <c r="H18" t="s">
        <v>14</v>
      </c>
      <c r="I18">
        <v>17</v>
      </c>
      <c r="J18" t="str">
        <f>VLOOKUP(I18, jobdepartment!$A:$B, 2, FALSE)</f>
        <v>Sales</v>
      </c>
      <c r="K18">
        <f>VLOOKUP(I18,salarybonus!$B:$C, 2, FALSE)</f>
        <v>47000</v>
      </c>
      <c r="L18">
        <f>VLOOKUP(I18, salarybonus!$B:$E,4,FALSE)</f>
        <v>4500</v>
      </c>
      <c r="M18">
        <f>VLOOKUP(A18, payroll!$B:$H, 7, FALSE)</f>
        <v>49500</v>
      </c>
    </row>
    <row r="19" spans="1:13" x14ac:dyDescent="0.35">
      <c r="A19">
        <v>18</v>
      </c>
      <c r="B19" t="s">
        <v>80</v>
      </c>
      <c r="C19" t="s">
        <v>81</v>
      </c>
      <c r="D19" t="s">
        <v>11</v>
      </c>
      <c r="E19">
        <v>37</v>
      </c>
      <c r="F19" t="s">
        <v>82</v>
      </c>
      <c r="G19" t="s">
        <v>83</v>
      </c>
      <c r="H19" t="s">
        <v>14</v>
      </c>
      <c r="I19">
        <v>18</v>
      </c>
      <c r="J19" t="str">
        <f>VLOOKUP(I19, jobdepartment!$A:$B, 2, FALSE)</f>
        <v>HR</v>
      </c>
      <c r="K19">
        <f>VLOOKUP(I19,salarybonus!$B:$C, 2, FALSE)</f>
        <v>60000</v>
      </c>
      <c r="L19">
        <f>VLOOKUP(I19, salarybonus!$B:$E,4,FALSE)</f>
        <v>7500</v>
      </c>
      <c r="M19">
        <f>VLOOKUP(A19, payroll!$B:$H, 7, FALSE)</f>
        <v>51500</v>
      </c>
    </row>
    <row r="20" spans="1:13" x14ac:dyDescent="0.35">
      <c r="A20">
        <v>19</v>
      </c>
      <c r="B20" t="s">
        <v>84</v>
      </c>
      <c r="C20" t="s">
        <v>85</v>
      </c>
      <c r="D20" t="s">
        <v>17</v>
      </c>
      <c r="E20">
        <v>31</v>
      </c>
      <c r="F20" t="s">
        <v>86</v>
      </c>
      <c r="G20" t="s">
        <v>87</v>
      </c>
      <c r="H20" t="s">
        <v>14</v>
      </c>
      <c r="I20">
        <v>19</v>
      </c>
      <c r="J20" t="str">
        <f>VLOOKUP(I20, jobdepartment!$A:$B, 2, FALSE)</f>
        <v>Operations</v>
      </c>
      <c r="K20">
        <f>VLOOKUP(I20,salarybonus!$B:$C, 2, FALSE)</f>
        <v>95000</v>
      </c>
      <c r="L20">
        <f>VLOOKUP(I20, salarybonus!$B:$E,4,FALSE)</f>
        <v>15000</v>
      </c>
      <c r="M20">
        <f>VLOOKUP(A20, payroll!$B:$H, 7, FALSE)</f>
        <v>49500</v>
      </c>
    </row>
    <row r="21" spans="1:13" x14ac:dyDescent="0.35">
      <c r="A21">
        <v>20</v>
      </c>
      <c r="B21" t="s">
        <v>88</v>
      </c>
      <c r="C21" t="s">
        <v>89</v>
      </c>
      <c r="D21" t="s">
        <v>17</v>
      </c>
      <c r="E21">
        <v>28</v>
      </c>
      <c r="F21" t="s">
        <v>90</v>
      </c>
      <c r="G21" t="s">
        <v>91</v>
      </c>
      <c r="H21" t="s">
        <v>14</v>
      </c>
      <c r="I21">
        <v>20</v>
      </c>
      <c r="J21" t="str">
        <f>VLOOKUP(I21, jobdepartment!$A:$B, 2, FALSE)</f>
        <v>Legal</v>
      </c>
      <c r="K21">
        <f>VLOOKUP(I21,salarybonus!$B:$C, 2, FALSE)</f>
        <v>115000</v>
      </c>
      <c r="L21">
        <f>VLOOKUP(I21, salarybonus!$B:$E,4,FALSE)</f>
        <v>20000</v>
      </c>
      <c r="M21">
        <f>VLOOKUP(A21, payroll!$B:$H, 7, FALSE)</f>
        <v>48500</v>
      </c>
    </row>
    <row r="22" spans="1:13" x14ac:dyDescent="0.35">
      <c r="A22">
        <v>21</v>
      </c>
      <c r="B22" t="s">
        <v>92</v>
      </c>
      <c r="C22" t="s">
        <v>93</v>
      </c>
      <c r="D22" t="s">
        <v>11</v>
      </c>
      <c r="E22">
        <v>46</v>
      </c>
      <c r="F22" t="s">
        <v>94</v>
      </c>
      <c r="G22" t="s">
        <v>95</v>
      </c>
      <c r="H22" t="s">
        <v>14</v>
      </c>
      <c r="I22">
        <v>21</v>
      </c>
      <c r="J22" t="str">
        <f>VLOOKUP(I22, jobdepartment!$A:$B, 2, FALSE)</f>
        <v>Finance</v>
      </c>
      <c r="K22">
        <f>VLOOKUP(I22,salarybonus!$B:$C, 2, FALSE)</f>
        <v>95000</v>
      </c>
      <c r="L22">
        <f>VLOOKUP(I22, salarybonus!$B:$E,4,FALSE)</f>
        <v>15000</v>
      </c>
      <c r="M22">
        <f>VLOOKUP(A22, payroll!$B:$H, 7, FALSE)</f>
        <v>46500</v>
      </c>
    </row>
    <row r="23" spans="1:13" x14ac:dyDescent="0.35">
      <c r="A23">
        <v>22</v>
      </c>
      <c r="B23" t="s">
        <v>96</v>
      </c>
      <c r="C23" t="s">
        <v>97</v>
      </c>
      <c r="D23" t="s">
        <v>17</v>
      </c>
      <c r="E23">
        <v>38</v>
      </c>
      <c r="F23" t="s">
        <v>98</v>
      </c>
      <c r="G23" t="s">
        <v>99</v>
      </c>
      <c r="H23" t="s">
        <v>14</v>
      </c>
      <c r="I23">
        <v>22</v>
      </c>
      <c r="J23" t="str">
        <f>VLOOKUP(I23, jobdepartment!$A:$B, 2, FALSE)</f>
        <v>IT</v>
      </c>
      <c r="K23">
        <f>VLOOKUP(I23,salarybonus!$B:$C, 2, FALSE)</f>
        <v>105000</v>
      </c>
      <c r="L23">
        <f>VLOOKUP(I23, salarybonus!$B:$E,4,FALSE)</f>
        <v>18000</v>
      </c>
      <c r="M23">
        <f>VLOOKUP(A23, payroll!$B:$H, 7, FALSE)</f>
        <v>47500</v>
      </c>
    </row>
    <row r="24" spans="1:13" x14ac:dyDescent="0.35">
      <c r="A24">
        <v>23</v>
      </c>
      <c r="B24" t="s">
        <v>100</v>
      </c>
      <c r="C24" t="s">
        <v>101</v>
      </c>
      <c r="D24" t="s">
        <v>11</v>
      </c>
      <c r="E24">
        <v>41</v>
      </c>
      <c r="F24" t="s">
        <v>102</v>
      </c>
      <c r="G24" t="s">
        <v>103</v>
      </c>
      <c r="H24" t="s">
        <v>14</v>
      </c>
      <c r="I24">
        <v>23</v>
      </c>
      <c r="J24" t="str">
        <f>VLOOKUP(I24, jobdepartment!$A:$B, 2, FALSE)</f>
        <v>Engineering</v>
      </c>
      <c r="K24">
        <f>VLOOKUP(I24,salarybonus!$B:$C, 2, FALSE)</f>
        <v>85000</v>
      </c>
      <c r="L24">
        <f>VLOOKUP(I24, salarybonus!$B:$E,4,FALSE)</f>
        <v>12000</v>
      </c>
      <c r="M24">
        <f>VLOOKUP(A24, payroll!$B:$H, 7, FALSE)</f>
        <v>45500</v>
      </c>
    </row>
    <row r="25" spans="1:13" x14ac:dyDescent="0.35">
      <c r="A25">
        <v>24</v>
      </c>
      <c r="B25" t="s">
        <v>104</v>
      </c>
      <c r="C25" t="s">
        <v>105</v>
      </c>
      <c r="D25" t="s">
        <v>17</v>
      </c>
      <c r="E25">
        <v>34</v>
      </c>
      <c r="F25" t="s">
        <v>106</v>
      </c>
      <c r="G25" t="s">
        <v>107</v>
      </c>
      <c r="H25" t="s">
        <v>14</v>
      </c>
      <c r="I25">
        <v>24</v>
      </c>
      <c r="J25" t="str">
        <f>VLOOKUP(I25, jobdepartment!$A:$B, 2, FALSE)</f>
        <v>Sales</v>
      </c>
      <c r="K25">
        <f>VLOOKUP(I25,salarybonus!$B:$C, 2, FALSE)</f>
        <v>95000</v>
      </c>
      <c r="L25">
        <f>VLOOKUP(I25, salarybonus!$B:$E,4,FALSE)</f>
        <v>13000</v>
      </c>
      <c r="M25">
        <f>VLOOKUP(A25, payroll!$B:$H, 7, FALSE)</f>
        <v>47500</v>
      </c>
    </row>
    <row r="26" spans="1:13" x14ac:dyDescent="0.35">
      <c r="A26">
        <v>25</v>
      </c>
      <c r="B26" t="s">
        <v>108</v>
      </c>
      <c r="C26" t="s">
        <v>109</v>
      </c>
      <c r="D26" t="s">
        <v>11</v>
      </c>
      <c r="E26">
        <v>55</v>
      </c>
      <c r="F26" t="s">
        <v>110</v>
      </c>
      <c r="G26" t="s">
        <v>111</v>
      </c>
      <c r="H26" t="s">
        <v>14</v>
      </c>
      <c r="I26">
        <v>25</v>
      </c>
      <c r="J26" t="str">
        <f>VLOOKUP(I26, jobdepartment!$A:$B, 2, FALSE)</f>
        <v>HR</v>
      </c>
      <c r="K26">
        <f>VLOOKUP(I26,salarybonus!$B:$C, 2, FALSE)</f>
        <v>72000</v>
      </c>
      <c r="L26">
        <f>VLOOKUP(I26, salarybonus!$B:$E,4,FALSE)</f>
        <v>8500</v>
      </c>
      <c r="M26">
        <f>VLOOKUP(A26, payroll!$B:$H, 7, FALSE)</f>
        <v>45500</v>
      </c>
    </row>
    <row r="27" spans="1:13" x14ac:dyDescent="0.35">
      <c r="A27">
        <v>26</v>
      </c>
      <c r="B27" t="s">
        <v>112</v>
      </c>
      <c r="C27" t="s">
        <v>113</v>
      </c>
      <c r="D27" t="s">
        <v>11</v>
      </c>
      <c r="E27">
        <v>28</v>
      </c>
      <c r="F27" t="s">
        <v>114</v>
      </c>
      <c r="G27" t="s">
        <v>115</v>
      </c>
      <c r="H27" t="s">
        <v>14</v>
      </c>
      <c r="I27">
        <v>26</v>
      </c>
      <c r="J27" t="str">
        <f>VLOOKUP(I27, jobdepartment!$A:$B, 2, FALSE)</f>
        <v>Operations</v>
      </c>
      <c r="K27">
        <f>VLOOKUP(I27,salarybonus!$B:$C, 2, FALSE)</f>
        <v>105000</v>
      </c>
      <c r="L27">
        <f>VLOOKUP(I27, salarybonus!$B:$E,4,FALSE)</f>
        <v>15000</v>
      </c>
      <c r="M27">
        <f>VLOOKUP(A27, payroll!$B:$H, 7, FALSE)</f>
        <v>46500</v>
      </c>
    </row>
    <row r="28" spans="1:13" x14ac:dyDescent="0.35">
      <c r="A28">
        <v>27</v>
      </c>
      <c r="B28" t="s">
        <v>116</v>
      </c>
      <c r="C28" t="s">
        <v>117</v>
      </c>
      <c r="D28" t="s">
        <v>17</v>
      </c>
      <c r="E28">
        <v>42</v>
      </c>
      <c r="F28" t="s">
        <v>118</v>
      </c>
      <c r="G28" t="s">
        <v>119</v>
      </c>
      <c r="H28" t="s">
        <v>14</v>
      </c>
      <c r="I28">
        <v>27</v>
      </c>
      <c r="J28" t="str">
        <f>VLOOKUP(I28, jobdepartment!$A:$B, 2, FALSE)</f>
        <v>Marketing</v>
      </c>
      <c r="K28">
        <f>VLOOKUP(I28,salarybonus!$B:$C, 2, FALSE)</f>
        <v>98000</v>
      </c>
      <c r="L28">
        <f>VLOOKUP(I28, salarybonus!$B:$E,4,FALSE)</f>
        <v>13000</v>
      </c>
      <c r="M28">
        <f>VLOOKUP(A28, payroll!$B:$H, 7, FALSE)</f>
        <v>44500</v>
      </c>
    </row>
    <row r="29" spans="1:13" x14ac:dyDescent="0.35">
      <c r="A29">
        <v>28</v>
      </c>
      <c r="B29" t="s">
        <v>120</v>
      </c>
      <c r="C29" t="s">
        <v>121</v>
      </c>
      <c r="D29" t="s">
        <v>11</v>
      </c>
      <c r="E29">
        <v>36</v>
      </c>
      <c r="F29" t="s">
        <v>122</v>
      </c>
      <c r="G29" t="s">
        <v>123</v>
      </c>
      <c r="H29" t="s">
        <v>14</v>
      </c>
      <c r="I29">
        <v>28</v>
      </c>
      <c r="J29" t="str">
        <f>VLOOKUP(I29, jobdepartment!$A:$B, 2, FALSE)</f>
        <v>IT</v>
      </c>
      <c r="K29">
        <f>VLOOKUP(I29,salarybonus!$B:$C, 2, FALSE)</f>
        <v>120000</v>
      </c>
      <c r="L29">
        <f>VLOOKUP(I29, salarybonus!$B:$E,4,FALSE)</f>
        <v>20000</v>
      </c>
      <c r="M29">
        <f>VLOOKUP(A29, payroll!$B:$H, 7, FALSE)</f>
        <v>49500</v>
      </c>
    </row>
    <row r="30" spans="1:13" x14ac:dyDescent="0.35">
      <c r="A30">
        <v>29</v>
      </c>
      <c r="B30" t="s">
        <v>124</v>
      </c>
      <c r="C30" t="s">
        <v>125</v>
      </c>
      <c r="D30" t="s">
        <v>17</v>
      </c>
      <c r="E30">
        <v>29</v>
      </c>
      <c r="F30" t="s">
        <v>126</v>
      </c>
      <c r="G30" t="s">
        <v>127</v>
      </c>
      <c r="H30" t="s">
        <v>14</v>
      </c>
      <c r="I30">
        <v>29</v>
      </c>
      <c r="J30" t="str">
        <f>VLOOKUP(I30, jobdepartment!$A:$B, 2, FALSE)</f>
        <v>Legal</v>
      </c>
      <c r="K30">
        <f>VLOOKUP(I30,salarybonus!$B:$C, 2, FALSE)</f>
        <v>130000</v>
      </c>
      <c r="L30">
        <f>VLOOKUP(I30, salarybonus!$B:$E,4,FALSE)</f>
        <v>22000</v>
      </c>
      <c r="M30">
        <f>VLOOKUP(A30, payroll!$B:$H, 7, FALSE)</f>
        <v>45500</v>
      </c>
    </row>
    <row r="31" spans="1:13" x14ac:dyDescent="0.35">
      <c r="A31">
        <v>30</v>
      </c>
      <c r="B31" t="s">
        <v>128</v>
      </c>
      <c r="C31" t="s">
        <v>129</v>
      </c>
      <c r="D31" t="s">
        <v>11</v>
      </c>
      <c r="E31">
        <v>50</v>
      </c>
      <c r="F31" t="s">
        <v>130</v>
      </c>
      <c r="G31" t="s">
        <v>131</v>
      </c>
      <c r="H31" t="s">
        <v>14</v>
      </c>
      <c r="I31">
        <v>30</v>
      </c>
      <c r="J31" t="str">
        <f>VLOOKUP(I31, jobdepartment!$A:$B, 2, FALSE)</f>
        <v>Finance</v>
      </c>
      <c r="K31">
        <f>VLOOKUP(I31,salarybonus!$B:$C, 2, FALSE)</f>
        <v>105000</v>
      </c>
      <c r="L31">
        <f>VLOOKUP(I31, salarybonus!$B:$E,4,FALSE)</f>
        <v>15000</v>
      </c>
      <c r="M31">
        <f>VLOOKUP(A31, payroll!$B:$H, 7, FALSE)</f>
        <v>50500</v>
      </c>
    </row>
    <row r="32" spans="1:13" x14ac:dyDescent="0.35">
      <c r="A32">
        <v>31</v>
      </c>
      <c r="B32" t="s">
        <v>132</v>
      </c>
      <c r="C32" t="s">
        <v>133</v>
      </c>
      <c r="D32" t="s">
        <v>17</v>
      </c>
      <c r="E32">
        <v>35</v>
      </c>
      <c r="F32" t="s">
        <v>134</v>
      </c>
      <c r="G32" t="s">
        <v>135</v>
      </c>
      <c r="H32" t="s">
        <v>14</v>
      </c>
      <c r="I32">
        <v>31</v>
      </c>
      <c r="J32" t="str">
        <f>VLOOKUP(I32, jobdepartment!$A:$B, 2, FALSE)</f>
        <v>Engineering</v>
      </c>
      <c r="K32">
        <f>VLOOKUP(I32,salarybonus!$B:$C, 2, FALSE)</f>
        <v>115000</v>
      </c>
      <c r="L32">
        <f>VLOOKUP(I32, salarybonus!$B:$E,4,FALSE)</f>
        <v>18000</v>
      </c>
      <c r="M32">
        <f>VLOOKUP(A32, payroll!$B:$H, 7, FALSE)</f>
        <v>41500</v>
      </c>
    </row>
    <row r="33" spans="1:13" x14ac:dyDescent="0.35">
      <c r="A33">
        <v>32</v>
      </c>
      <c r="B33" t="s">
        <v>136</v>
      </c>
      <c r="C33" t="s">
        <v>77</v>
      </c>
      <c r="D33" t="s">
        <v>11</v>
      </c>
      <c r="E33">
        <v>42</v>
      </c>
      <c r="F33" t="s">
        <v>137</v>
      </c>
      <c r="G33" t="s">
        <v>138</v>
      </c>
      <c r="H33" t="s">
        <v>14</v>
      </c>
      <c r="I33">
        <v>32</v>
      </c>
      <c r="J33" t="str">
        <f>VLOOKUP(I33, jobdepartment!$A:$B, 2, FALSE)</f>
        <v>Sales</v>
      </c>
      <c r="K33">
        <f>VLOOKUP(I33,salarybonus!$B:$C, 2, FALSE)</f>
        <v>95000</v>
      </c>
      <c r="L33">
        <f>VLOOKUP(I33, salarybonus!$B:$E,4,FALSE)</f>
        <v>14000</v>
      </c>
      <c r="M33">
        <f>VLOOKUP(A33, payroll!$B:$H, 7, FALSE)</f>
        <v>48500</v>
      </c>
    </row>
    <row r="34" spans="1:13" x14ac:dyDescent="0.35">
      <c r="A34">
        <v>33</v>
      </c>
      <c r="B34" t="s">
        <v>139</v>
      </c>
      <c r="C34" t="s">
        <v>140</v>
      </c>
      <c r="D34" t="s">
        <v>17</v>
      </c>
      <c r="E34">
        <v>38</v>
      </c>
      <c r="F34" t="s">
        <v>141</v>
      </c>
      <c r="G34" t="s">
        <v>142</v>
      </c>
      <c r="H34" t="s">
        <v>14</v>
      </c>
      <c r="I34">
        <v>33</v>
      </c>
      <c r="J34" t="str">
        <f>VLOOKUP(I34, jobdepartment!$A:$B, 2, FALSE)</f>
        <v>HR</v>
      </c>
      <c r="K34">
        <f>VLOOKUP(I34,salarybonus!$B:$C, 2, FALSE)</f>
        <v>120000</v>
      </c>
      <c r="L34">
        <f>VLOOKUP(I34, salarybonus!$B:$E,4,FALSE)</f>
        <v>20000</v>
      </c>
      <c r="M34">
        <f>VLOOKUP(A34, payroll!$B:$H, 7, FALSE)</f>
        <v>49500</v>
      </c>
    </row>
    <row r="35" spans="1:13" x14ac:dyDescent="0.35">
      <c r="A35">
        <v>34</v>
      </c>
      <c r="B35" t="s">
        <v>40</v>
      </c>
      <c r="C35" t="s">
        <v>37</v>
      </c>
      <c r="D35" t="s">
        <v>11</v>
      </c>
      <c r="E35">
        <v>43</v>
      </c>
      <c r="F35" t="s">
        <v>143</v>
      </c>
      <c r="G35" t="s">
        <v>144</v>
      </c>
      <c r="H35" t="s">
        <v>14</v>
      </c>
      <c r="I35">
        <v>34</v>
      </c>
      <c r="J35" t="str">
        <f>VLOOKUP(I35, jobdepartment!$A:$B, 2, FALSE)</f>
        <v>Operations</v>
      </c>
      <c r="K35">
        <f>VLOOKUP(I35,salarybonus!$B:$C, 2, FALSE)</f>
        <v>135000</v>
      </c>
      <c r="L35">
        <f>VLOOKUP(I35, salarybonus!$B:$E,4,FALSE)</f>
        <v>25000</v>
      </c>
      <c r="M35">
        <f>VLOOKUP(A35, payroll!$B:$H, 7, FALSE)</f>
        <v>46500</v>
      </c>
    </row>
    <row r="36" spans="1:13" x14ac:dyDescent="0.35">
      <c r="A36">
        <v>35</v>
      </c>
      <c r="B36" t="s">
        <v>145</v>
      </c>
      <c r="C36" t="s">
        <v>146</v>
      </c>
      <c r="D36" t="s">
        <v>17</v>
      </c>
      <c r="E36">
        <v>31</v>
      </c>
      <c r="F36" t="s">
        <v>147</v>
      </c>
      <c r="G36" t="s">
        <v>148</v>
      </c>
      <c r="H36" t="s">
        <v>14</v>
      </c>
      <c r="I36">
        <v>35</v>
      </c>
      <c r="J36" t="str">
        <f>VLOOKUP(I36, jobdepartment!$A:$B, 2, FALSE)</f>
        <v>Marketing</v>
      </c>
      <c r="K36">
        <f>VLOOKUP(I36,salarybonus!$B:$C, 2, FALSE)</f>
        <v>150000</v>
      </c>
      <c r="L36">
        <f>VLOOKUP(I36, salarybonus!$B:$E,4,FALSE)</f>
        <v>30000</v>
      </c>
      <c r="M36">
        <f>VLOOKUP(A36, payroll!$B:$H, 7, FALSE)</f>
        <v>45500</v>
      </c>
    </row>
    <row r="37" spans="1:13" x14ac:dyDescent="0.35">
      <c r="A37">
        <v>36</v>
      </c>
      <c r="B37" t="s">
        <v>149</v>
      </c>
      <c r="C37" t="s">
        <v>41</v>
      </c>
      <c r="D37" t="s">
        <v>11</v>
      </c>
      <c r="E37">
        <v>47</v>
      </c>
      <c r="F37" t="s">
        <v>150</v>
      </c>
      <c r="G37" t="s">
        <v>151</v>
      </c>
      <c r="H37" t="s">
        <v>14</v>
      </c>
      <c r="I37">
        <v>36</v>
      </c>
      <c r="J37" t="str">
        <f>VLOOKUP(I37, jobdepartment!$A:$B, 2, FALSE)</f>
        <v>IT</v>
      </c>
      <c r="K37">
        <f>VLOOKUP(I37,salarybonus!$B:$C, 2, FALSE)</f>
        <v>150000</v>
      </c>
      <c r="L37">
        <f>VLOOKUP(I37, salarybonus!$B:$E,4,FALSE)</f>
        <v>28000</v>
      </c>
      <c r="M37">
        <f>VLOOKUP(A37, payroll!$B:$H, 7, FALSE)</f>
        <v>43500</v>
      </c>
    </row>
    <row r="38" spans="1:13" x14ac:dyDescent="0.35">
      <c r="A38">
        <v>37</v>
      </c>
      <c r="B38" t="s">
        <v>152</v>
      </c>
      <c r="C38" t="s">
        <v>113</v>
      </c>
      <c r="D38" t="s">
        <v>17</v>
      </c>
      <c r="E38">
        <v>26</v>
      </c>
      <c r="F38" t="s">
        <v>153</v>
      </c>
      <c r="G38" t="s">
        <v>154</v>
      </c>
      <c r="H38" t="s">
        <v>14</v>
      </c>
      <c r="I38">
        <v>37</v>
      </c>
      <c r="J38" t="str">
        <f>VLOOKUP(I38, jobdepartment!$A:$B, 2, FALSE)</f>
        <v>Finance</v>
      </c>
      <c r="K38">
        <f>VLOOKUP(I38,salarybonus!$B:$C, 2, FALSE)</f>
        <v>170000</v>
      </c>
      <c r="L38">
        <f>VLOOKUP(I38, salarybonus!$B:$E,4,FALSE)</f>
        <v>35000</v>
      </c>
      <c r="M38">
        <f>VLOOKUP(A38, payroll!$B:$H, 7, FALSE)</f>
        <v>44500</v>
      </c>
    </row>
    <row r="39" spans="1:13" x14ac:dyDescent="0.35">
      <c r="A39">
        <v>38</v>
      </c>
      <c r="B39" t="s">
        <v>9</v>
      </c>
      <c r="C39" t="s">
        <v>155</v>
      </c>
      <c r="D39" t="s">
        <v>11</v>
      </c>
      <c r="E39">
        <v>32</v>
      </c>
      <c r="F39" t="s">
        <v>156</v>
      </c>
      <c r="G39" t="s">
        <v>157</v>
      </c>
      <c r="H39" t="s">
        <v>14</v>
      </c>
      <c r="I39">
        <v>38</v>
      </c>
      <c r="J39" t="str">
        <f>VLOOKUP(I39, jobdepartment!$A:$B, 2, FALSE)</f>
        <v>Engineering</v>
      </c>
      <c r="K39">
        <f>VLOOKUP(I39,salarybonus!$B:$C, 2, FALSE)</f>
        <v>160000</v>
      </c>
      <c r="L39">
        <f>VLOOKUP(I39, salarybonus!$B:$E,4,FALSE)</f>
        <v>33000</v>
      </c>
      <c r="M39">
        <f>VLOOKUP(A39, payroll!$B:$H, 7, FALSE)</f>
        <v>47500</v>
      </c>
    </row>
    <row r="40" spans="1:13" x14ac:dyDescent="0.35">
      <c r="A40">
        <v>39</v>
      </c>
      <c r="B40" t="s">
        <v>158</v>
      </c>
      <c r="C40" t="s">
        <v>159</v>
      </c>
      <c r="D40" t="s">
        <v>17</v>
      </c>
      <c r="E40">
        <v>40</v>
      </c>
      <c r="F40" t="s">
        <v>160</v>
      </c>
      <c r="G40" t="s">
        <v>161</v>
      </c>
      <c r="H40" t="s">
        <v>14</v>
      </c>
      <c r="I40">
        <v>39</v>
      </c>
      <c r="J40" t="str">
        <f>VLOOKUP(I40, jobdepartment!$A:$B, 2, FALSE)</f>
        <v>Sales</v>
      </c>
      <c r="K40">
        <f>VLOOKUP(I40,salarybonus!$B:$C, 2, FALSE)</f>
        <v>140000</v>
      </c>
      <c r="L40">
        <f>VLOOKUP(I40, salarybonus!$B:$E,4,FALSE)</f>
        <v>28000</v>
      </c>
      <c r="M40">
        <f>VLOOKUP(A40, payroll!$B:$H, 7, FALSE)</f>
        <v>45500</v>
      </c>
    </row>
    <row r="41" spans="1:13" x14ac:dyDescent="0.35">
      <c r="A41">
        <v>40</v>
      </c>
      <c r="B41" t="s">
        <v>162</v>
      </c>
      <c r="C41" t="s">
        <v>163</v>
      </c>
      <c r="D41" t="s">
        <v>11</v>
      </c>
      <c r="E41">
        <v>28</v>
      </c>
      <c r="F41" t="s">
        <v>164</v>
      </c>
      <c r="G41" t="s">
        <v>165</v>
      </c>
      <c r="H41" t="s">
        <v>14</v>
      </c>
      <c r="I41">
        <v>40</v>
      </c>
      <c r="J41" t="str">
        <f>VLOOKUP(I41, jobdepartment!$A:$B, 2, FALSE)</f>
        <v>HR</v>
      </c>
      <c r="K41">
        <f>VLOOKUP(I41,salarybonus!$B:$C, 2, FALSE)</f>
        <v>50000</v>
      </c>
      <c r="L41">
        <f>VLOOKUP(I41, salarybonus!$B:$E,4,FALSE)</f>
        <v>6000</v>
      </c>
      <c r="M41">
        <f>VLOOKUP(A41, payroll!$B:$H, 7, FALSE)</f>
        <v>46500</v>
      </c>
    </row>
    <row r="42" spans="1:13" x14ac:dyDescent="0.35">
      <c r="A42">
        <v>41</v>
      </c>
      <c r="B42" t="s">
        <v>68</v>
      </c>
      <c r="C42" t="s">
        <v>166</v>
      </c>
      <c r="D42" t="s">
        <v>17</v>
      </c>
      <c r="E42">
        <v>29</v>
      </c>
      <c r="F42" t="s">
        <v>167</v>
      </c>
      <c r="G42" t="s">
        <v>168</v>
      </c>
      <c r="H42" t="s">
        <v>14</v>
      </c>
      <c r="I42">
        <v>41</v>
      </c>
      <c r="J42" t="str">
        <f>VLOOKUP(I42, jobdepartment!$A:$B, 2, FALSE)</f>
        <v>Operations</v>
      </c>
      <c r="K42">
        <f>VLOOKUP(I42,salarybonus!$B:$C, 2, FALSE)</f>
        <v>48000</v>
      </c>
      <c r="L42">
        <f>VLOOKUP(I42, salarybonus!$B:$E,4,FALSE)</f>
        <v>5000</v>
      </c>
      <c r="M42">
        <f>VLOOKUP(A42, payroll!$B:$H, 7, FALSE)</f>
        <v>48500</v>
      </c>
    </row>
    <row r="43" spans="1:13" x14ac:dyDescent="0.35">
      <c r="A43">
        <v>42</v>
      </c>
      <c r="B43" t="s">
        <v>169</v>
      </c>
      <c r="C43" t="s">
        <v>69</v>
      </c>
      <c r="D43" t="s">
        <v>17</v>
      </c>
      <c r="E43">
        <v>35</v>
      </c>
      <c r="F43" t="s">
        <v>170</v>
      </c>
      <c r="G43" t="s">
        <v>171</v>
      </c>
      <c r="H43" t="s">
        <v>14</v>
      </c>
      <c r="I43">
        <v>42</v>
      </c>
      <c r="J43" t="str">
        <f>VLOOKUP(I43, jobdepartment!$A:$B, 2, FALSE)</f>
        <v>Marketing</v>
      </c>
      <c r="K43">
        <f>VLOOKUP(I43,salarybonus!$B:$C, 2, FALSE)</f>
        <v>45000</v>
      </c>
      <c r="L43">
        <f>VLOOKUP(I43, salarybonus!$B:$E,4,FALSE)</f>
        <v>4500</v>
      </c>
      <c r="M43">
        <f>VLOOKUP(A43, payroll!$B:$H, 7, FALSE)</f>
        <v>43500</v>
      </c>
    </row>
    <row r="44" spans="1:13" x14ac:dyDescent="0.35">
      <c r="A44">
        <v>43</v>
      </c>
      <c r="B44" t="s">
        <v>172</v>
      </c>
      <c r="C44" t="s">
        <v>125</v>
      </c>
      <c r="D44" t="s">
        <v>11</v>
      </c>
      <c r="E44">
        <v>39</v>
      </c>
      <c r="F44" t="s">
        <v>173</v>
      </c>
      <c r="G44" t="s">
        <v>174</v>
      </c>
      <c r="H44" t="s">
        <v>14</v>
      </c>
      <c r="I44">
        <v>43</v>
      </c>
      <c r="J44" t="str">
        <f>VLOOKUP(I44, jobdepartment!$A:$B, 2, FALSE)</f>
        <v>Finance</v>
      </c>
      <c r="K44">
        <f>VLOOKUP(I44,salarybonus!$B:$C, 2, FALSE)</f>
        <v>32000</v>
      </c>
      <c r="L44">
        <f>VLOOKUP(I44, salarybonus!$B:$E,4,FALSE)</f>
        <v>3000</v>
      </c>
      <c r="M44">
        <f>VLOOKUP(A44, payroll!$B:$H, 7, FALSE)</f>
        <v>49500</v>
      </c>
    </row>
    <row r="45" spans="1:13" x14ac:dyDescent="0.35">
      <c r="A45">
        <v>44</v>
      </c>
      <c r="B45" t="s">
        <v>175</v>
      </c>
      <c r="C45" t="s">
        <v>176</v>
      </c>
      <c r="D45" t="s">
        <v>11</v>
      </c>
      <c r="E45">
        <v>30</v>
      </c>
      <c r="F45" t="s">
        <v>177</v>
      </c>
      <c r="G45" t="s">
        <v>178</v>
      </c>
      <c r="H45" t="s">
        <v>14</v>
      </c>
      <c r="I45">
        <v>44</v>
      </c>
      <c r="J45" t="str">
        <f>VLOOKUP(I45, jobdepartment!$A:$B, 2, FALSE)</f>
        <v>IT</v>
      </c>
      <c r="K45">
        <f>VLOOKUP(I45,salarybonus!$B:$C, 2, FALSE)</f>
        <v>38000</v>
      </c>
      <c r="L45">
        <f>VLOOKUP(I45, salarybonus!$B:$E,4,FALSE)</f>
        <v>4000</v>
      </c>
      <c r="M45">
        <f>VLOOKUP(A45, payroll!$B:$H, 7, FALSE)</f>
        <v>45500</v>
      </c>
    </row>
    <row r="46" spans="1:13" x14ac:dyDescent="0.35">
      <c r="A46">
        <v>45</v>
      </c>
      <c r="B46" t="s">
        <v>84</v>
      </c>
      <c r="C46" t="s">
        <v>89</v>
      </c>
      <c r="D46" t="s">
        <v>17</v>
      </c>
      <c r="E46">
        <v>25</v>
      </c>
      <c r="F46" t="s">
        <v>179</v>
      </c>
      <c r="G46" t="s">
        <v>180</v>
      </c>
      <c r="H46" t="s">
        <v>14</v>
      </c>
      <c r="I46">
        <v>45</v>
      </c>
      <c r="J46" t="str">
        <f>VLOOKUP(I46, jobdepartment!$A:$B, 2, FALSE)</f>
        <v>Engineering</v>
      </c>
      <c r="K46">
        <f>VLOOKUP(I46,salarybonus!$B:$C, 2, FALSE)</f>
        <v>42000</v>
      </c>
      <c r="L46">
        <f>VLOOKUP(I46, salarybonus!$B:$E,4,FALSE)</f>
        <v>3500</v>
      </c>
      <c r="M46">
        <f>VLOOKUP(A46, payroll!$B:$H, 7, FALSE)</f>
        <v>47500</v>
      </c>
    </row>
    <row r="47" spans="1:13" x14ac:dyDescent="0.35">
      <c r="A47">
        <v>46</v>
      </c>
      <c r="B47" t="s">
        <v>181</v>
      </c>
      <c r="C47" t="s">
        <v>117</v>
      </c>
      <c r="D47" t="s">
        <v>11</v>
      </c>
      <c r="E47">
        <v>32</v>
      </c>
      <c r="F47" t="s">
        <v>182</v>
      </c>
      <c r="G47" t="s">
        <v>183</v>
      </c>
      <c r="H47" t="s">
        <v>14</v>
      </c>
      <c r="I47">
        <v>46</v>
      </c>
      <c r="J47" t="str">
        <f>VLOOKUP(I47, jobdepartment!$A:$B, 2, FALSE)</f>
        <v>Sales</v>
      </c>
      <c r="K47">
        <f>VLOOKUP(I47,salarybonus!$B:$C, 2, FALSE)</f>
        <v>33000</v>
      </c>
      <c r="L47">
        <f>VLOOKUP(I47, salarybonus!$B:$E,4,FALSE)</f>
        <v>3000</v>
      </c>
      <c r="M47">
        <f>VLOOKUP(A47, payroll!$B:$H, 7, FALSE)</f>
        <v>48500</v>
      </c>
    </row>
    <row r="48" spans="1:13" x14ac:dyDescent="0.35">
      <c r="A48">
        <v>47</v>
      </c>
      <c r="B48" t="s">
        <v>184</v>
      </c>
      <c r="C48" t="s">
        <v>81</v>
      </c>
      <c r="D48" t="s">
        <v>17</v>
      </c>
      <c r="E48">
        <v>33</v>
      </c>
      <c r="F48" t="s">
        <v>185</v>
      </c>
      <c r="G48" t="s">
        <v>186</v>
      </c>
      <c r="H48" t="s">
        <v>14</v>
      </c>
      <c r="I48">
        <v>47</v>
      </c>
      <c r="J48" t="str">
        <f>VLOOKUP(I48, jobdepartment!$A:$B, 2, FALSE)</f>
        <v>Marketing</v>
      </c>
      <c r="K48">
        <f>VLOOKUP(I48,salarybonus!$B:$C, 2, FALSE)</f>
        <v>35000</v>
      </c>
      <c r="L48">
        <f>VLOOKUP(I48, salarybonus!$B:$E,4,FALSE)</f>
        <v>3500</v>
      </c>
      <c r="M48">
        <f>VLOOKUP(A48, payroll!$B:$H, 7, FALSE)</f>
        <v>46500</v>
      </c>
    </row>
    <row r="49" spans="1:13" x14ac:dyDescent="0.35">
      <c r="A49">
        <v>48</v>
      </c>
      <c r="B49" t="s">
        <v>187</v>
      </c>
      <c r="C49" t="s">
        <v>133</v>
      </c>
      <c r="D49" t="s">
        <v>11</v>
      </c>
      <c r="E49">
        <v>36</v>
      </c>
      <c r="F49" t="s">
        <v>188</v>
      </c>
      <c r="G49" t="s">
        <v>189</v>
      </c>
      <c r="H49" t="s">
        <v>14</v>
      </c>
      <c r="I49">
        <v>48</v>
      </c>
      <c r="J49" t="str">
        <f>VLOOKUP(I49, jobdepartment!$A:$B, 2, FALSE)</f>
        <v>HR</v>
      </c>
      <c r="K49">
        <f>VLOOKUP(I49,salarybonus!$B:$C, 2, FALSE)</f>
        <v>34000</v>
      </c>
      <c r="L49">
        <f>VLOOKUP(I49, salarybonus!$B:$E,4,FALSE)</f>
        <v>3200</v>
      </c>
      <c r="M49">
        <f>VLOOKUP(A49, payroll!$B:$H, 7, FALSE)</f>
        <v>43500</v>
      </c>
    </row>
    <row r="50" spans="1:13" x14ac:dyDescent="0.35">
      <c r="A50">
        <v>49</v>
      </c>
      <c r="B50" t="s">
        <v>190</v>
      </c>
      <c r="C50" t="s">
        <v>101</v>
      </c>
      <c r="D50" t="s">
        <v>17</v>
      </c>
      <c r="E50">
        <v>27</v>
      </c>
      <c r="F50" t="s">
        <v>191</v>
      </c>
      <c r="G50" t="s">
        <v>192</v>
      </c>
      <c r="H50" t="s">
        <v>14</v>
      </c>
      <c r="I50">
        <v>49</v>
      </c>
      <c r="J50" t="str">
        <f>VLOOKUP(I50, jobdepartment!$A:$B, 2, FALSE)</f>
        <v>Operations</v>
      </c>
      <c r="K50">
        <f>VLOOKUP(I50,salarybonus!$B:$C, 2, FALSE)</f>
        <v>31000</v>
      </c>
      <c r="L50">
        <f>VLOOKUP(I50, salarybonus!$B:$E,4,FALSE)</f>
        <v>3000</v>
      </c>
      <c r="M50">
        <f>VLOOKUP(A50, payroll!$B:$H, 7, FALSE)</f>
        <v>48500</v>
      </c>
    </row>
    <row r="51" spans="1:13" x14ac:dyDescent="0.35">
      <c r="A51">
        <v>50</v>
      </c>
      <c r="B51" t="s">
        <v>193</v>
      </c>
      <c r="C51" t="s">
        <v>194</v>
      </c>
      <c r="D51" t="s">
        <v>11</v>
      </c>
      <c r="E51">
        <v>41</v>
      </c>
      <c r="F51" t="s">
        <v>195</v>
      </c>
      <c r="G51" t="s">
        <v>196</v>
      </c>
      <c r="H51" t="s">
        <v>14</v>
      </c>
      <c r="I51">
        <v>50</v>
      </c>
      <c r="J51" t="str">
        <f>VLOOKUP(I51, jobdepartment!$A:$B, 2, FALSE)</f>
        <v>Legal</v>
      </c>
      <c r="K51">
        <f>VLOOKUP(I51,salarybonus!$B:$C, 2, FALSE)</f>
        <v>40000</v>
      </c>
      <c r="L51">
        <f>VLOOKUP(I51, salarybonus!$B:$E,4,FALSE)</f>
        <v>4500</v>
      </c>
      <c r="M51">
        <f>VLOOKUP(A51, payroll!$B:$H, 7, FALSE)</f>
        <v>47500</v>
      </c>
    </row>
    <row r="52" spans="1:13" x14ac:dyDescent="0.35">
      <c r="A52">
        <v>51</v>
      </c>
      <c r="B52" t="s">
        <v>197</v>
      </c>
      <c r="C52" t="s">
        <v>198</v>
      </c>
      <c r="D52" t="s">
        <v>17</v>
      </c>
      <c r="E52">
        <v>36</v>
      </c>
      <c r="F52" t="s">
        <v>199</v>
      </c>
      <c r="G52" t="s">
        <v>200</v>
      </c>
      <c r="H52" t="s">
        <v>14</v>
      </c>
      <c r="I52">
        <v>51</v>
      </c>
      <c r="J52" t="str">
        <f>VLOOKUP(I52, jobdepartment!$A:$B, 2, FALSE)</f>
        <v>Finance</v>
      </c>
      <c r="K52">
        <f>VLOOKUP(I52,salarybonus!$B:$C, 2, FALSE)</f>
        <v>42000</v>
      </c>
      <c r="L52">
        <f>VLOOKUP(I52, salarybonus!$B:$E,4,FALSE)</f>
        <v>4000</v>
      </c>
      <c r="M52">
        <f>VLOOKUP(A52, payroll!$B:$H, 7, FALSE)</f>
        <v>50500</v>
      </c>
    </row>
    <row r="53" spans="1:13" x14ac:dyDescent="0.35">
      <c r="A53">
        <v>52</v>
      </c>
      <c r="B53" t="s">
        <v>112</v>
      </c>
      <c r="C53" t="s">
        <v>85</v>
      </c>
      <c r="D53" t="s">
        <v>11</v>
      </c>
      <c r="E53">
        <v>28</v>
      </c>
      <c r="F53" t="s">
        <v>201</v>
      </c>
      <c r="G53" t="s">
        <v>202</v>
      </c>
      <c r="H53" t="s">
        <v>14</v>
      </c>
      <c r="I53">
        <v>52</v>
      </c>
      <c r="J53" t="str">
        <f>VLOOKUP(I53, jobdepartment!$A:$B, 2, FALSE)</f>
        <v>IT</v>
      </c>
      <c r="K53">
        <f>VLOOKUP(I53,salarybonus!$B:$C, 2, FALSE)</f>
        <v>35000</v>
      </c>
      <c r="L53">
        <f>VLOOKUP(I53, salarybonus!$B:$E,4,FALSE)</f>
        <v>3500</v>
      </c>
      <c r="M53">
        <f>VLOOKUP(A53, payroll!$B:$H, 7, FALSE)</f>
        <v>46500</v>
      </c>
    </row>
    <row r="54" spans="1:13" x14ac:dyDescent="0.35">
      <c r="A54">
        <v>53</v>
      </c>
      <c r="B54" t="s">
        <v>203</v>
      </c>
      <c r="C54" t="s">
        <v>204</v>
      </c>
      <c r="D54" t="s">
        <v>17</v>
      </c>
      <c r="E54">
        <v>34</v>
      </c>
      <c r="F54" t="s">
        <v>205</v>
      </c>
      <c r="G54" t="s">
        <v>206</v>
      </c>
      <c r="H54" t="s">
        <v>14</v>
      </c>
      <c r="I54">
        <v>53</v>
      </c>
      <c r="J54" t="str">
        <f>VLOOKUP(I54, jobdepartment!$A:$B, 2, FALSE)</f>
        <v>Engineering</v>
      </c>
      <c r="K54">
        <f>VLOOKUP(I54,salarybonus!$B:$C, 2, FALSE)</f>
        <v>46000</v>
      </c>
      <c r="L54">
        <f>VLOOKUP(I54, salarybonus!$B:$E,4,FALSE)</f>
        <v>5500</v>
      </c>
      <c r="M54">
        <f>VLOOKUP(A54, payroll!$B:$H, 7, FALSE)</f>
        <v>49500</v>
      </c>
    </row>
    <row r="55" spans="1:13" x14ac:dyDescent="0.35">
      <c r="A55">
        <v>54</v>
      </c>
      <c r="B55" t="s">
        <v>207</v>
      </c>
      <c r="C55" t="s">
        <v>41</v>
      </c>
      <c r="D55" t="s">
        <v>11</v>
      </c>
      <c r="E55">
        <v>38</v>
      </c>
      <c r="F55" t="s">
        <v>208</v>
      </c>
      <c r="G55" t="s">
        <v>209</v>
      </c>
      <c r="H55" t="s">
        <v>14</v>
      </c>
      <c r="I55">
        <v>54</v>
      </c>
      <c r="J55" t="str">
        <f>VLOOKUP(I55, jobdepartment!$A:$B, 2, FALSE)</f>
        <v>Sales</v>
      </c>
      <c r="K55">
        <f>VLOOKUP(I55,salarybonus!$B:$C, 2, FALSE)</f>
        <v>38000</v>
      </c>
      <c r="L55">
        <f>VLOOKUP(I55, salarybonus!$B:$E,4,FALSE)</f>
        <v>4000</v>
      </c>
      <c r="M55">
        <f>VLOOKUP(A55, payroll!$B:$H, 7, FALSE)</f>
        <v>46500</v>
      </c>
    </row>
    <row r="56" spans="1:13" x14ac:dyDescent="0.35">
      <c r="A56">
        <v>55</v>
      </c>
      <c r="B56" t="s">
        <v>210</v>
      </c>
      <c r="C56" t="s">
        <v>69</v>
      </c>
      <c r="D56" t="s">
        <v>11</v>
      </c>
      <c r="E56">
        <v>31</v>
      </c>
      <c r="F56" t="s">
        <v>211</v>
      </c>
      <c r="G56" t="s">
        <v>212</v>
      </c>
      <c r="H56" t="s">
        <v>14</v>
      </c>
      <c r="I56">
        <v>55</v>
      </c>
      <c r="J56" t="str">
        <f>VLOOKUP(I56, jobdepartment!$A:$B, 2, FALSE)</f>
        <v>Marketing</v>
      </c>
      <c r="K56">
        <f>VLOOKUP(I56,salarybonus!$B:$C, 2, FALSE)</f>
        <v>44000</v>
      </c>
      <c r="L56">
        <f>VLOOKUP(I56, salarybonus!$B:$E,4,FALSE)</f>
        <v>4500</v>
      </c>
      <c r="M56">
        <f>VLOOKUP(A56, payroll!$B:$H, 7, FALSE)</f>
        <v>43500</v>
      </c>
    </row>
    <row r="57" spans="1:13" x14ac:dyDescent="0.35">
      <c r="A57">
        <v>56</v>
      </c>
      <c r="B57" t="s">
        <v>213</v>
      </c>
      <c r="C57" t="s">
        <v>81</v>
      </c>
      <c r="D57" t="s">
        <v>17</v>
      </c>
      <c r="E57">
        <v>40</v>
      </c>
      <c r="F57" t="s">
        <v>214</v>
      </c>
      <c r="G57" t="s">
        <v>215</v>
      </c>
      <c r="H57" t="s">
        <v>14</v>
      </c>
      <c r="I57">
        <v>56</v>
      </c>
      <c r="J57" t="str">
        <f>VLOOKUP(I57, jobdepartment!$A:$B, 2, FALSE)</f>
        <v>HR</v>
      </c>
      <c r="K57">
        <f>VLOOKUP(I57,salarybonus!$B:$C, 2, FALSE)</f>
        <v>47000</v>
      </c>
      <c r="L57">
        <f>VLOOKUP(I57, salarybonus!$B:$E,4,FALSE)</f>
        <v>5000</v>
      </c>
      <c r="M57">
        <f>VLOOKUP(A57, payroll!$B:$H, 7, FALSE)</f>
        <v>42500</v>
      </c>
    </row>
    <row r="58" spans="1:13" x14ac:dyDescent="0.35">
      <c r="A58">
        <v>57</v>
      </c>
      <c r="B58" t="s">
        <v>216</v>
      </c>
      <c r="C58" t="s">
        <v>109</v>
      </c>
      <c r="D58" t="s">
        <v>11</v>
      </c>
      <c r="E58">
        <v>27</v>
      </c>
      <c r="F58" t="s">
        <v>217</v>
      </c>
      <c r="G58" t="s">
        <v>218</v>
      </c>
      <c r="H58" t="s">
        <v>14</v>
      </c>
      <c r="I58">
        <v>57</v>
      </c>
      <c r="J58" t="str">
        <f>VLOOKUP(I58, jobdepartment!$A:$B, 2, FALSE)</f>
        <v>Operations</v>
      </c>
      <c r="K58">
        <f>VLOOKUP(I58,salarybonus!$B:$C, 2, FALSE)</f>
        <v>43000</v>
      </c>
      <c r="L58">
        <f>VLOOKUP(I58, salarybonus!$B:$E,4,FALSE)</f>
        <v>4000</v>
      </c>
      <c r="M58">
        <f>VLOOKUP(A58, payroll!$B:$H, 7, FALSE)</f>
        <v>48500</v>
      </c>
    </row>
    <row r="59" spans="1:13" x14ac:dyDescent="0.35">
      <c r="A59">
        <v>58</v>
      </c>
      <c r="B59" t="s">
        <v>219</v>
      </c>
      <c r="C59" t="s">
        <v>97</v>
      </c>
      <c r="D59" t="s">
        <v>17</v>
      </c>
      <c r="E59">
        <v>35</v>
      </c>
      <c r="F59" t="s">
        <v>220</v>
      </c>
      <c r="G59" t="s">
        <v>221</v>
      </c>
      <c r="H59" t="s">
        <v>14</v>
      </c>
      <c r="I59">
        <v>58</v>
      </c>
      <c r="J59" t="str">
        <f>VLOOKUP(I59, jobdepartment!$A:$B, 2, FALSE)</f>
        <v>Legal</v>
      </c>
      <c r="K59">
        <f>VLOOKUP(I59,salarybonus!$B:$C, 2, FALSE)</f>
        <v>48000</v>
      </c>
      <c r="L59">
        <f>VLOOKUP(I59, salarybonus!$B:$E,4,FALSE)</f>
        <v>5000</v>
      </c>
      <c r="M59">
        <f>VLOOKUP(A59, payroll!$B:$H, 7, FALSE)</f>
        <v>45500</v>
      </c>
    </row>
    <row r="60" spans="1:13" x14ac:dyDescent="0.35">
      <c r="A60">
        <v>59</v>
      </c>
      <c r="B60" t="s">
        <v>222</v>
      </c>
      <c r="C60" t="s">
        <v>125</v>
      </c>
      <c r="D60" t="s">
        <v>11</v>
      </c>
      <c r="E60">
        <v>33</v>
      </c>
      <c r="F60" t="s">
        <v>223</v>
      </c>
      <c r="G60" t="s">
        <v>224</v>
      </c>
      <c r="H60" t="s">
        <v>14</v>
      </c>
      <c r="I60">
        <v>59</v>
      </c>
      <c r="J60" t="str">
        <f>VLOOKUP(I60, jobdepartment!$A:$B, 2, FALSE)</f>
        <v>Finance</v>
      </c>
      <c r="K60">
        <f>VLOOKUP(I60,salarybonus!$B:$C, 2, FALSE)</f>
        <v>45000</v>
      </c>
      <c r="L60">
        <f>VLOOKUP(I60, salarybonus!$B:$E,4,FALSE)</f>
        <v>4500</v>
      </c>
      <c r="M60">
        <f>VLOOKUP(A60, payroll!$B:$H, 7, FALSE)</f>
        <v>44500</v>
      </c>
    </row>
    <row r="61" spans="1:13" x14ac:dyDescent="0.35">
      <c r="A61">
        <v>60</v>
      </c>
      <c r="B61" t="s">
        <v>225</v>
      </c>
      <c r="C61" t="s">
        <v>61</v>
      </c>
      <c r="D61" t="s">
        <v>17</v>
      </c>
      <c r="E61">
        <v>30</v>
      </c>
      <c r="F61" t="s">
        <v>226</v>
      </c>
      <c r="G61" t="s">
        <v>227</v>
      </c>
      <c r="H61" t="s">
        <v>14</v>
      </c>
      <c r="I61">
        <v>60</v>
      </c>
      <c r="J61" t="str">
        <f>VLOOKUP(I61, jobdepartment!$A:$B, 2, FALSE)</f>
        <v>IT</v>
      </c>
      <c r="K61">
        <f>VLOOKUP(I61,salarybonus!$B:$C, 2, FALSE)</f>
        <v>70000</v>
      </c>
      <c r="L61">
        <f>VLOOKUP(I61, salarybonus!$B:$E,4,FALSE)</f>
        <v>10000</v>
      </c>
      <c r="M61">
        <f>VLOOKUP(A61, payroll!$B:$H, 7, FALSE)</f>
        <v>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</vt:lpstr>
      <vt:lpstr>jobdepartment</vt:lpstr>
      <vt:lpstr>salarybonus</vt:lpstr>
      <vt:lpstr>payroll</vt:lpstr>
      <vt:lpstr>Department Headcount</vt:lpstr>
      <vt:lpstr>Department Salary Cost</vt:lpstr>
      <vt:lpstr>Employee Payroll Summary</vt:lpstr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chethanvakiti123@outlook.com</dc:creator>
  <cp:lastModifiedBy>chethanvakiti123@outlook.com</cp:lastModifiedBy>
  <dcterms:created xsi:type="dcterms:W3CDTF">2025-12-01T15:37:56Z</dcterms:created>
  <dcterms:modified xsi:type="dcterms:W3CDTF">2025-12-01T18:01:36Z</dcterms:modified>
</cp:coreProperties>
</file>